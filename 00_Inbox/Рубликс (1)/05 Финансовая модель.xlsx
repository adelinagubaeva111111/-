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genijkrotov/Documents/Рубликс 2026/"/>
    </mc:Choice>
  </mc:AlternateContent>
  <xr:revisionPtr revIDLastSave="0" documentId="13_ncr:1_{E9B5517A-B21B-9049-9FE8-4BBC23521701}" xr6:coauthVersionLast="47" xr6:coauthVersionMax="47" xr10:uidLastSave="{00000000-0000-0000-0000-000000000000}"/>
  <bookViews>
    <workbookView xWindow="0" yWindow="680" windowWidth="30240" windowHeight="17180" xr2:uid="{4FA05845-6883-5345-A7C6-0BC6D6F3D28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B40" i="1"/>
  <c r="Y17" i="1"/>
  <c r="Y18" i="1"/>
  <c r="N16" i="1"/>
  <c r="Y16" i="1" s="1"/>
  <c r="O16" i="1"/>
  <c r="P16" i="1"/>
  <c r="Q16" i="1"/>
  <c r="R16" i="1"/>
  <c r="S16" i="1"/>
  <c r="T16" i="1"/>
  <c r="U16" i="1"/>
  <c r="V16" i="1"/>
  <c r="W16" i="1"/>
  <c r="X16" i="1"/>
  <c r="M16" i="1"/>
  <c r="P15" i="1"/>
  <c r="Q15" i="1"/>
  <c r="R15" i="1"/>
  <c r="S15" i="1"/>
  <c r="X15" i="1"/>
  <c r="M15" i="1"/>
  <c r="N14" i="1"/>
  <c r="N15" i="1" s="1"/>
  <c r="O14" i="1"/>
  <c r="O15" i="1" s="1"/>
  <c r="P14" i="1"/>
  <c r="Q14" i="1"/>
  <c r="R14" i="1"/>
  <c r="S14" i="1"/>
  <c r="T14" i="1"/>
  <c r="T15" i="1" s="1"/>
  <c r="U14" i="1"/>
  <c r="V14" i="1"/>
  <c r="W14" i="1"/>
  <c r="W15" i="1" s="1"/>
  <c r="X14" i="1"/>
  <c r="M14" i="1"/>
  <c r="Y14" i="1" s="1"/>
  <c r="N9" i="1"/>
  <c r="O9" i="1"/>
  <c r="P9" i="1"/>
  <c r="Q9" i="1"/>
  <c r="R9" i="1"/>
  <c r="S9" i="1"/>
  <c r="T9" i="1"/>
  <c r="U9" i="1"/>
  <c r="V9" i="1"/>
  <c r="W9" i="1"/>
  <c r="X9" i="1"/>
  <c r="M9" i="1"/>
  <c r="M8" i="1"/>
  <c r="M10" i="1" s="1"/>
  <c r="M7" i="1" s="1"/>
  <c r="M19" i="1" l="1"/>
  <c r="N8" i="1"/>
  <c r="V15" i="1"/>
  <c r="U15" i="1"/>
  <c r="O8" i="1" l="1"/>
  <c r="N10" i="1"/>
  <c r="N7" i="1" s="1"/>
  <c r="M13" i="1"/>
  <c r="Y15" i="1"/>
  <c r="M22" i="1" l="1"/>
  <c r="N19" i="1"/>
  <c r="P8" i="1"/>
  <c r="O10" i="1"/>
  <c r="O7" i="1" s="1"/>
  <c r="P10" i="1" l="1"/>
  <c r="P7" i="1" s="1"/>
  <c r="Q8" i="1"/>
  <c r="O19" i="1"/>
  <c r="O13" i="1" s="1"/>
  <c r="O22" i="1" s="1"/>
  <c r="O23" i="1" s="1"/>
  <c r="N13" i="1"/>
  <c r="M23" i="1"/>
  <c r="N22" i="1" l="1"/>
  <c r="R8" i="1"/>
  <c r="Q10" i="1"/>
  <c r="Q7" i="1" s="1"/>
  <c r="P19" i="1"/>
  <c r="P13" i="1" l="1"/>
  <c r="Q19" i="1"/>
  <c r="Q13" i="1" s="1"/>
  <c r="Q22" i="1" s="1"/>
  <c r="Q23" i="1" s="1"/>
  <c r="S8" i="1"/>
  <c r="R10" i="1"/>
  <c r="R7" i="1" s="1"/>
  <c r="N23" i="1"/>
  <c r="R19" i="1" l="1"/>
  <c r="R13" i="1" s="1"/>
  <c r="R22" i="1" s="1"/>
  <c r="R23" i="1" s="1"/>
  <c r="S10" i="1"/>
  <c r="S7" i="1" s="1"/>
  <c r="T8" i="1"/>
  <c r="P22" i="1"/>
  <c r="P23" i="1" l="1"/>
  <c r="U8" i="1"/>
  <c r="T10" i="1"/>
  <c r="T7" i="1" s="1"/>
  <c r="S19" i="1"/>
  <c r="S13" i="1" s="1"/>
  <c r="S22" i="1" s="1"/>
  <c r="S23" i="1" l="1"/>
  <c r="T19" i="1"/>
  <c r="T13" i="1" s="1"/>
  <c r="T22" i="1" s="1"/>
  <c r="V8" i="1"/>
  <c r="U10" i="1"/>
  <c r="U7" i="1" s="1"/>
  <c r="T23" i="1" l="1"/>
  <c r="U19" i="1"/>
  <c r="U13" i="1" s="1"/>
  <c r="U22" i="1" s="1"/>
  <c r="U23" i="1" s="1"/>
  <c r="W8" i="1"/>
  <c r="V10" i="1"/>
  <c r="V7" i="1" s="1"/>
  <c r="V19" i="1" l="1"/>
  <c r="V13" i="1" s="1"/>
  <c r="V22" i="1" s="1"/>
  <c r="V23" i="1" s="1"/>
  <c r="X8" i="1"/>
  <c r="X10" i="1" s="1"/>
  <c r="X7" i="1" s="1"/>
  <c r="W10" i="1"/>
  <c r="W7" i="1" s="1"/>
  <c r="X19" i="1" l="1"/>
  <c r="Y7" i="1"/>
  <c r="W19" i="1"/>
  <c r="W13" i="1" s="1"/>
  <c r="W22" i="1" s="1"/>
  <c r="W23" i="1" s="1"/>
  <c r="X13" i="1" l="1"/>
  <c r="Y19" i="1"/>
  <c r="Y13" i="1" l="1"/>
  <c r="X22" i="1"/>
  <c r="X23" i="1" l="1"/>
  <c r="Y22" i="1"/>
  <c r="B26" i="1" l="1"/>
  <c r="L14" i="1"/>
  <c r="L16" i="1"/>
  <c r="L17" i="1"/>
  <c r="B34" i="1" l="1"/>
  <c r="C15" i="1"/>
  <c r="D15" i="1"/>
  <c r="E15" i="1"/>
  <c r="F15" i="1"/>
  <c r="G15" i="1"/>
  <c r="H15" i="1"/>
  <c r="I15" i="1"/>
  <c r="J15" i="1"/>
  <c r="K15" i="1"/>
  <c r="B15" i="1"/>
  <c r="F7" i="1"/>
  <c r="C10" i="1"/>
  <c r="C7" i="1" s="1"/>
  <c r="D10" i="1"/>
  <c r="D7" i="1" s="1"/>
  <c r="E10" i="1"/>
  <c r="E7" i="1" s="1"/>
  <c r="F10" i="1"/>
  <c r="G10" i="1"/>
  <c r="G7" i="1" s="1"/>
  <c r="H10" i="1"/>
  <c r="H7" i="1" s="1"/>
  <c r="I10" i="1"/>
  <c r="I7" i="1" s="1"/>
  <c r="J10" i="1"/>
  <c r="J7" i="1" s="1"/>
  <c r="K10" i="1"/>
  <c r="K7" i="1" s="1"/>
  <c r="B10" i="1"/>
  <c r="B7" i="1" s="1"/>
  <c r="H19" i="1" l="1"/>
  <c r="I19" i="1"/>
  <c r="G19" i="1"/>
  <c r="L15" i="1"/>
  <c r="I13" i="1"/>
  <c r="I22" i="1" s="1"/>
  <c r="I23" i="1" s="1"/>
  <c r="H18" i="1"/>
  <c r="H13" i="1" s="1"/>
  <c r="H22" i="1" s="1"/>
  <c r="H23" i="1" s="1"/>
  <c r="J18" i="1"/>
  <c r="C18" i="1"/>
  <c r="G18" i="1"/>
  <c r="I18" i="1"/>
  <c r="K18" i="1"/>
  <c r="D18" i="1"/>
  <c r="B18" i="1"/>
  <c r="E18" i="1"/>
  <c r="E13" i="1" s="1"/>
  <c r="E22" i="1" s="1"/>
  <c r="E23" i="1" s="1"/>
  <c r="F18" i="1"/>
  <c r="F13" i="1" s="1"/>
  <c r="F22" i="1" s="1"/>
  <c r="F23" i="1" s="1"/>
  <c r="K19" i="1"/>
  <c r="C19" i="1"/>
  <c r="E19" i="1"/>
  <c r="F19" i="1"/>
  <c r="D19" i="1"/>
  <c r="J19" i="1"/>
  <c r="G13" i="1"/>
  <c r="G22" i="1" s="1"/>
  <c r="G23" i="1" s="1"/>
  <c r="L7" i="1"/>
  <c r="B19" i="1"/>
  <c r="D13" i="1" l="1"/>
  <c r="D22" i="1" s="1"/>
  <c r="D23" i="1" s="1"/>
  <c r="B13" i="1"/>
  <c r="B22" i="1" s="1"/>
  <c r="B23" i="1" s="1"/>
  <c r="J13" i="1"/>
  <c r="J22" i="1" s="1"/>
  <c r="J23" i="1" s="1"/>
  <c r="K13" i="1"/>
  <c r="K22" i="1" s="1"/>
  <c r="K23" i="1" s="1"/>
  <c r="C13" i="1"/>
  <c r="C22" i="1" s="1"/>
  <c r="C23" i="1" s="1"/>
  <c r="L18" i="1"/>
  <c r="L19" i="1"/>
  <c r="L13" i="1" l="1"/>
  <c r="B37" i="1" s="1"/>
  <c r="L22" i="1"/>
  <c r="B27" i="1"/>
  <c r="C26" i="1" s="1"/>
  <c r="C27" i="1" s="1"/>
  <c r="D26" i="1" s="1"/>
  <c r="D27" i="1" s="1"/>
  <c r="E26" i="1" s="1"/>
  <c r="E27" i="1" s="1"/>
  <c r="F26" i="1" s="1"/>
  <c r="F27" i="1" s="1"/>
  <c r="G26" i="1" s="1"/>
  <c r="G27" i="1" s="1"/>
  <c r="H26" i="1" s="1"/>
  <c r="H27" i="1" s="1"/>
  <c r="I26" i="1" s="1"/>
  <c r="I27" i="1" s="1"/>
  <c r="J26" i="1" s="1"/>
  <c r="J27" i="1" s="1"/>
  <c r="K26" i="1" s="1"/>
  <c r="K27" i="1" s="1"/>
  <c r="M26" i="1" l="1"/>
  <c r="M27" i="1" s="1"/>
  <c r="N26" i="1" s="1"/>
  <c r="N27" i="1" s="1"/>
  <c r="O26" i="1" s="1"/>
  <c r="O27" i="1" s="1"/>
  <c r="P26" i="1" s="1"/>
  <c r="P27" i="1" s="1"/>
  <c r="Q26" i="1" s="1"/>
  <c r="Q27" i="1" s="1"/>
  <c r="R26" i="1" s="1"/>
  <c r="R27" i="1" s="1"/>
  <c r="S26" i="1" s="1"/>
  <c r="S27" i="1" s="1"/>
  <c r="T26" i="1" s="1"/>
  <c r="T27" i="1" s="1"/>
  <c r="U26" i="1" s="1"/>
  <c r="U27" i="1" s="1"/>
  <c r="V26" i="1" s="1"/>
  <c r="V27" i="1" s="1"/>
  <c r="W26" i="1" s="1"/>
  <c r="W27" i="1" s="1"/>
  <c r="X26" i="1" s="1"/>
  <c r="X27" i="1" s="1"/>
  <c r="Y27" i="1" s="1"/>
  <c r="L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53DBBD3C-0023-A641-A2BE-B8521E38CD69}">
      <text>
        <r>
          <rPr>
            <sz val="10"/>
            <color rgb="FF000000"/>
            <rFont val="Calibri"/>
            <family val="2"/>
          </rPr>
          <t>Считаем, что работаем в белую и без льгот, поэтому берем 43% от суммы зарплаты.</t>
        </r>
      </text>
    </comment>
  </commentList>
</comments>
</file>

<file path=xl/sharedStrings.xml><?xml version="1.0" encoding="utf-8"?>
<sst xmlns="http://schemas.openxmlformats.org/spreadsheetml/2006/main" count="40" uniqueCount="36">
  <si>
    <t xml:space="preserve"> Месяцы</t>
  </si>
  <si>
    <t>Итого за год</t>
  </si>
  <si>
    <t>Гранты</t>
  </si>
  <si>
    <t>Выручка</t>
  </si>
  <si>
    <r>
      <rPr>
        <b/>
        <sz val="10"/>
        <color theme="1"/>
        <rFont val="Arial"/>
        <family val="2"/>
      </rPr>
      <t xml:space="preserve">   </t>
    </r>
    <r>
      <rPr>
        <sz val="10"/>
        <color theme="1"/>
        <rFont val="Arial"/>
        <family val="2"/>
      </rPr>
      <t>Числопользователей приложения</t>
    </r>
  </si>
  <si>
    <r>
      <rPr>
        <b/>
        <sz val="10"/>
        <color theme="1"/>
        <rFont val="Arial"/>
        <family val="2"/>
      </rPr>
      <t xml:space="preserve">   </t>
    </r>
    <r>
      <rPr>
        <sz val="10"/>
        <color theme="1"/>
        <rFont val="Arial"/>
        <family val="2"/>
      </rPr>
      <t>Конверсия в оплату, %</t>
    </r>
  </si>
  <si>
    <r>
      <rPr>
        <b/>
        <sz val="10"/>
        <color theme="1"/>
        <rFont val="Arial"/>
        <family val="2"/>
      </rPr>
      <t xml:space="preserve">   </t>
    </r>
    <r>
      <rPr>
        <sz val="10"/>
        <color theme="1"/>
        <rFont val="Arial"/>
        <family val="2"/>
      </rPr>
      <t>Число оплат</t>
    </r>
  </si>
  <si>
    <r>
      <rPr>
        <b/>
        <sz val="10"/>
        <color theme="1"/>
        <rFont val="Arial"/>
        <family val="2"/>
      </rPr>
      <t xml:space="preserve">   </t>
    </r>
    <r>
      <rPr>
        <sz val="10"/>
        <color theme="1"/>
        <rFont val="Arial"/>
        <family val="2"/>
      </rPr>
      <t>Средний чек</t>
    </r>
  </si>
  <si>
    <t xml:space="preserve"> Расходы</t>
  </si>
  <si>
    <r>
      <rPr>
        <b/>
        <sz val="10"/>
        <color theme="1"/>
        <rFont val="Arial"/>
        <family val="2"/>
      </rPr>
      <t xml:space="preserve">   </t>
    </r>
    <r>
      <rPr>
        <sz val="10"/>
        <color theme="1"/>
        <rFont val="Arial"/>
        <family val="2"/>
      </rPr>
      <t>Зарплата</t>
    </r>
  </si>
  <si>
    <t xml:space="preserve">   Налоги на зарплату</t>
  </si>
  <si>
    <t xml:space="preserve">   Маркетинг</t>
  </si>
  <si>
    <r>
      <rPr>
        <b/>
        <sz val="10"/>
        <color rgb="FF000000"/>
        <rFont val="Arial"/>
        <family val="2"/>
      </rPr>
      <t xml:space="preserve">   </t>
    </r>
    <r>
      <rPr>
        <sz val="10"/>
        <color rgb="FF000000"/>
        <rFont val="Arial"/>
        <family val="2"/>
      </rPr>
      <t>Офис</t>
    </r>
  </si>
  <si>
    <t xml:space="preserve"> Амортизация</t>
  </si>
  <si>
    <r>
      <rPr>
        <b/>
        <sz val="10"/>
        <color rgb="FF000000"/>
        <rFont val="Arial"/>
        <family val="2"/>
      </rPr>
      <t xml:space="preserve">   </t>
    </r>
    <r>
      <rPr>
        <sz val="10"/>
        <color rgb="FF000000"/>
        <rFont val="Arial"/>
        <family val="2"/>
      </rPr>
      <t>Налог (УСН, от доходов)</t>
    </r>
  </si>
  <si>
    <t xml:space="preserve"> Прибыль</t>
  </si>
  <si>
    <r>
      <rPr>
        <b/>
        <sz val="10"/>
        <color rgb="FF000000"/>
        <rFont val="Arial"/>
        <family val="2"/>
      </rPr>
      <t xml:space="preserve">   </t>
    </r>
    <r>
      <rPr>
        <sz val="10"/>
        <color rgb="FF000000"/>
        <rFont val="Arial"/>
        <family val="2"/>
      </rPr>
      <t>Рентабельность</t>
    </r>
  </si>
  <si>
    <t xml:space="preserve"> Остатки на счете</t>
  </si>
  <si>
    <r>
      <rPr>
        <b/>
        <sz val="10"/>
        <color rgb="FF000000"/>
        <rFont val="Arial"/>
        <family val="2"/>
      </rPr>
      <t xml:space="preserve">   </t>
    </r>
    <r>
      <rPr>
        <sz val="10"/>
        <color rgb="FF000000"/>
        <rFont val="Arial"/>
        <family val="2"/>
      </rPr>
      <t>Начало месяца</t>
    </r>
  </si>
  <si>
    <r>
      <rPr>
        <b/>
        <sz val="10"/>
        <color rgb="FF000000"/>
        <rFont val="Arial"/>
        <family val="2"/>
      </rPr>
      <t xml:space="preserve">   </t>
    </r>
    <r>
      <rPr>
        <sz val="10"/>
        <color rgb="FF000000"/>
        <rFont val="Arial"/>
        <family val="2"/>
      </rPr>
      <t>Конец месяца</t>
    </r>
  </si>
  <si>
    <t>CapEx</t>
  </si>
  <si>
    <t>Создание приложения</t>
  </si>
  <si>
    <t>Инфраструктура и серверы</t>
  </si>
  <si>
    <t>Оборудование и ПО</t>
  </si>
  <si>
    <t>Юридические расходы</t>
  </si>
  <si>
    <t>Итого</t>
  </si>
  <si>
    <t>OpEx</t>
  </si>
  <si>
    <t>EBITDA</t>
  </si>
  <si>
    <t>Показатель</t>
  </si>
  <si>
    <t>2026 год</t>
  </si>
  <si>
    <t>2027 год</t>
  </si>
  <si>
    <t>NPV</t>
  </si>
  <si>
    <t>Общее</t>
  </si>
  <si>
    <t>IRR</t>
  </si>
  <si>
    <t>Payback Period</t>
  </si>
  <si>
    <t>11,6 мес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</si>
</sst>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&quot; &quot;yyyy"/>
    <numFmt numFmtId="165" formatCode="#,##0\ &quot;₽&quot;"/>
    <numFmt numFmtId="166" formatCode="0.0%"/>
  </numFmts>
  <fonts count="31">
    <font>
      <sz val="14"/>
      <color theme="1"/>
      <name val="TimesNewRomanPSMT"/>
      <family val="2"/>
      <charset val="204"/>
    </font>
    <font>
      <sz val="14"/>
      <color theme="1"/>
      <name val="TimesNewRomanPSMT"/>
      <family val="2"/>
      <charset val="204"/>
    </font>
    <font>
      <u/>
      <sz val="10"/>
      <color rgb="FF1155CC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u/>
      <sz val="11"/>
      <color rgb="FF0056EC"/>
      <name val="Arial"/>
      <family val="2"/>
    </font>
    <font>
      <b/>
      <u/>
      <sz val="11"/>
      <color rgb="FF000000"/>
      <name val="Arial"/>
      <family val="2"/>
    </font>
    <font>
      <b/>
      <u/>
      <sz val="11"/>
      <color rgb="FFFFFFFF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rgb="FF009AB1"/>
      <name val="Arial"/>
      <family val="2"/>
    </font>
    <font>
      <b/>
      <sz val="20"/>
      <color theme="1"/>
      <name val="Arial"/>
      <family val="2"/>
    </font>
    <font>
      <b/>
      <sz val="19"/>
      <color theme="1"/>
      <name val="Arial"/>
      <family val="2"/>
    </font>
    <font>
      <sz val="12"/>
      <color theme="1"/>
      <name val="Arial"/>
      <family val="2"/>
    </font>
    <font>
      <u/>
      <sz val="13"/>
      <color rgb="FF0000FF"/>
      <name val="Arial"/>
      <family val="2"/>
    </font>
    <font>
      <sz val="11"/>
      <color theme="1"/>
      <name val="Arial"/>
      <family val="2"/>
    </font>
    <font>
      <sz val="13"/>
      <color theme="1"/>
      <name val="Arial"/>
      <family val="2"/>
    </font>
    <font>
      <u/>
      <sz val="9"/>
      <color rgb="FF1155CC"/>
      <name val="Arial"/>
      <family val="2"/>
    </font>
    <font>
      <sz val="9"/>
      <color theme="1"/>
      <name val="Arial"/>
      <family val="2"/>
    </font>
    <font>
      <u/>
      <sz val="13"/>
      <color rgb="FF0056EC"/>
      <name val="Arial"/>
      <family val="2"/>
    </font>
    <font>
      <sz val="10"/>
      <color rgb="FF000000"/>
      <name val="Calibri"/>
      <family val="2"/>
    </font>
    <font>
      <sz val="10"/>
      <name val="Arial"/>
      <family val="2"/>
    </font>
    <font>
      <sz val="16"/>
      <name val="Helvetica Neue"/>
      <family val="2"/>
    </font>
    <font>
      <sz val="8"/>
      <name val="TimesNewRomanPSMT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3F3F3"/>
      </patternFill>
    </fill>
    <fill>
      <patternFill patternType="solid">
        <fgColor rgb="FFE4F8DD"/>
        <bgColor rgb="FFE4F8DD"/>
      </patternFill>
    </fill>
    <fill>
      <patternFill patternType="solid">
        <fgColor theme="5" tint="0.39997558519241921"/>
        <bgColor rgb="FFE4F8DD"/>
      </patternFill>
    </fill>
    <fill>
      <patternFill patternType="solid">
        <fgColor rgb="FFFFD4D4"/>
        <bgColor rgb="FFFFD4D4"/>
      </patternFill>
    </fill>
    <fill>
      <patternFill patternType="solid">
        <fgColor theme="5" tint="0.39997558519241921"/>
        <bgColor rgb="FFFFD4D4"/>
      </patternFill>
    </fill>
    <fill>
      <patternFill patternType="solid">
        <fgColor rgb="FFC4E3FF"/>
        <bgColor rgb="FFC4E3FF"/>
      </patternFill>
    </fill>
    <fill>
      <patternFill patternType="solid">
        <fgColor rgb="FFD9D9D9"/>
        <bgColor rgb="FFD9D9D9"/>
      </patternFill>
    </fill>
    <fill>
      <patternFill patternType="solid">
        <fgColor theme="5" tint="0.39997558519241921"/>
        <bgColor rgb="FFC4E3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0" fillId="3" borderId="0" xfId="0" applyFill="1"/>
    <xf numFmtId="0" fontId="8" fillId="0" borderId="0" xfId="0" applyFont="1"/>
    <xf numFmtId="0" fontId="9" fillId="0" borderId="0" xfId="0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9" fillId="5" borderId="0" xfId="0" applyFont="1" applyFill="1" applyAlignment="1">
      <alignment horizontal="right"/>
    </xf>
    <xf numFmtId="0" fontId="11" fillId="0" borderId="0" xfId="0" applyFont="1"/>
    <xf numFmtId="0" fontId="11" fillId="5" borderId="0" xfId="0" applyFont="1" applyFill="1"/>
    <xf numFmtId="0" fontId="0" fillId="4" borderId="0" xfId="0" applyFill="1"/>
    <xf numFmtId="0" fontId="10" fillId="2" borderId="0" xfId="0" applyFont="1" applyFill="1" applyAlignment="1">
      <alignment horizontal="left" vertical="center"/>
    </xf>
    <xf numFmtId="165" fontId="9" fillId="2" borderId="0" xfId="0" applyNumberFormat="1" applyFont="1" applyFill="1" applyAlignment="1">
      <alignment horizontal="right" vertical="center"/>
    </xf>
    <xf numFmtId="165" fontId="10" fillId="2" borderId="0" xfId="0" applyNumberFormat="1" applyFont="1" applyFill="1" applyAlignment="1">
      <alignment horizontal="right" vertical="center"/>
    </xf>
    <xf numFmtId="165" fontId="9" fillId="6" borderId="0" xfId="0" applyNumberFormat="1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5" borderId="0" xfId="0" applyFont="1" applyFill="1" applyAlignment="1">
      <alignment vertical="center"/>
    </xf>
    <xf numFmtId="0" fontId="9" fillId="7" borderId="0" xfId="0" applyFont="1" applyFill="1" applyAlignment="1">
      <alignment horizontal="left" vertical="center"/>
    </xf>
    <xf numFmtId="165" fontId="9" fillId="7" borderId="0" xfId="0" applyNumberFormat="1" applyFont="1" applyFill="1" applyAlignment="1">
      <alignment vertical="center"/>
    </xf>
    <xf numFmtId="165" fontId="9" fillId="8" borderId="0" xfId="0" applyNumberFormat="1" applyFont="1" applyFill="1" applyAlignment="1">
      <alignment vertical="center"/>
    </xf>
    <xf numFmtId="0" fontId="12" fillId="0" borderId="0" xfId="0" applyFont="1" applyAlignment="1">
      <alignment horizontal="left" vertical="center"/>
    </xf>
    <xf numFmtId="3" fontId="12" fillId="0" borderId="0" xfId="0" applyNumberFormat="1" applyFont="1" applyAlignment="1">
      <alignment horizontal="right" vertical="center"/>
    </xf>
    <xf numFmtId="3" fontId="12" fillId="5" borderId="0" xfId="0" applyNumberFormat="1" applyFont="1" applyFill="1" applyAlignment="1">
      <alignment vertical="center"/>
    </xf>
    <xf numFmtId="3" fontId="12" fillId="0" borderId="0" xfId="0" applyNumberFormat="1" applyFont="1" applyAlignment="1">
      <alignment vertical="center"/>
    </xf>
    <xf numFmtId="166" fontId="12" fillId="0" borderId="0" xfId="0" applyNumberFormat="1" applyFont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3" fontId="12" fillId="2" borderId="0" xfId="0" applyNumberFormat="1" applyFont="1" applyFill="1" applyAlignment="1">
      <alignment horizontal="right" vertical="center"/>
    </xf>
    <xf numFmtId="3" fontId="12" fillId="6" borderId="0" xfId="0" applyNumberFormat="1" applyFont="1" applyFill="1" applyAlignment="1">
      <alignment vertical="center"/>
    </xf>
    <xf numFmtId="3" fontId="11" fillId="5" borderId="0" xfId="0" applyNumberFormat="1" applyFont="1" applyFill="1" applyAlignment="1">
      <alignment vertical="center"/>
    </xf>
    <xf numFmtId="3" fontId="11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165" fontId="10" fillId="9" borderId="0" xfId="0" applyNumberFormat="1" applyFont="1" applyFill="1" applyAlignment="1">
      <alignment vertical="center"/>
    </xf>
    <xf numFmtId="165" fontId="10" fillId="10" borderId="0" xfId="0" applyNumberFormat="1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10" fillId="11" borderId="0" xfId="0" applyFont="1" applyFill="1" applyAlignment="1">
      <alignment horizontal="left" vertical="center"/>
    </xf>
    <xf numFmtId="165" fontId="10" fillId="12" borderId="0" xfId="0" applyNumberFormat="1" applyFont="1" applyFill="1" applyAlignment="1">
      <alignment vertical="center"/>
    </xf>
    <xf numFmtId="165" fontId="10" fillId="11" borderId="0" xfId="0" applyNumberFormat="1" applyFont="1" applyFill="1" applyAlignment="1">
      <alignment vertical="center"/>
    </xf>
    <xf numFmtId="165" fontId="10" fillId="13" borderId="0" xfId="0" applyNumberFormat="1" applyFont="1" applyFill="1" applyAlignment="1">
      <alignment vertical="center"/>
    </xf>
    <xf numFmtId="9" fontId="11" fillId="0" borderId="0" xfId="0" applyNumberFormat="1" applyFont="1" applyAlignment="1">
      <alignment vertical="center"/>
    </xf>
    <xf numFmtId="9" fontId="11" fillId="5" borderId="0" xfId="0" applyNumberFormat="1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1" fillId="6" borderId="0" xfId="0" applyFont="1" applyFill="1" applyAlignment="1">
      <alignment vertical="center"/>
    </xf>
    <xf numFmtId="3" fontId="0" fillId="0" borderId="0" xfId="0" applyNumberFormat="1"/>
    <xf numFmtId="0" fontId="15" fillId="14" borderId="0" xfId="0" applyFont="1" applyFill="1"/>
    <xf numFmtId="0" fontId="16" fillId="0" borderId="0" xfId="0" applyFont="1"/>
    <xf numFmtId="0" fontId="15" fillId="15" borderId="0" xfId="0" applyFont="1" applyFill="1"/>
    <xf numFmtId="0" fontId="23" fillId="0" borderId="0" xfId="0" applyFont="1"/>
    <xf numFmtId="0" fontId="0" fillId="5" borderId="0" xfId="0" applyFill="1"/>
    <xf numFmtId="165" fontId="11" fillId="10" borderId="0" xfId="0" applyNumberFormat="1" applyFont="1" applyFill="1" applyAlignment="1">
      <alignment vertical="center"/>
    </xf>
    <xf numFmtId="165" fontId="12" fillId="0" borderId="0" xfId="0" applyNumberFormat="1" applyFont="1"/>
    <xf numFmtId="9" fontId="11" fillId="0" borderId="0" xfId="1" applyFont="1" applyAlignment="1">
      <alignment vertical="center"/>
    </xf>
    <xf numFmtId="164" fontId="9" fillId="5" borderId="0" xfId="0" applyNumberFormat="1" applyFont="1" applyFill="1" applyAlignment="1">
      <alignment horizontal="right"/>
    </xf>
    <xf numFmtId="165" fontId="10" fillId="6" borderId="0" xfId="0" applyNumberFormat="1" applyFont="1" applyFill="1" applyAlignment="1">
      <alignment vertical="center"/>
    </xf>
    <xf numFmtId="166" fontId="12" fillId="5" borderId="0" xfId="0" applyNumberFormat="1" applyFont="1" applyFill="1" applyAlignment="1">
      <alignment horizontal="right" vertical="center"/>
    </xf>
    <xf numFmtId="3" fontId="12" fillId="6" borderId="0" xfId="0" applyNumberFormat="1" applyFont="1" applyFill="1" applyAlignment="1">
      <alignment horizontal="right" vertical="center"/>
    </xf>
    <xf numFmtId="3" fontId="12" fillId="5" borderId="0" xfId="0" applyNumberFormat="1" applyFont="1" applyFill="1" applyAlignment="1">
      <alignment horizontal="right" vertical="center"/>
    </xf>
    <xf numFmtId="0" fontId="13" fillId="6" borderId="0" xfId="0" applyFont="1" applyFill="1" applyAlignment="1">
      <alignment vertical="center"/>
    </xf>
    <xf numFmtId="9" fontId="29" fillId="0" borderId="0" xfId="0" applyNumberFormat="1" applyFont="1"/>
    <xf numFmtId="0" fontId="1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2" fillId="16" borderId="0" xfId="0" applyFont="1" applyFill="1" applyAlignment="1">
      <alignment horizontal="left"/>
    </xf>
    <xf numFmtId="0" fontId="17" fillId="0" borderId="0" xfId="0" applyFont="1" applyAlignment="1">
      <alignment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wrapText="1"/>
    </xf>
    <xf numFmtId="0" fontId="21" fillId="0" borderId="0" xfId="0" applyFont="1" applyAlignment="1">
      <alignment vertical="top" wrapText="1"/>
    </xf>
    <xf numFmtId="0" fontId="13" fillId="0" borderId="0" xfId="0" applyFont="1" applyAlignment="1">
      <alignment horizontal="center" vertical="center" wrapText="1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horizontal="left" wrapText="1"/>
    </xf>
    <xf numFmtId="0" fontId="23" fillId="0" borderId="0" xfId="0" applyFont="1" applyAlignment="1">
      <alignment vertical="top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4" fillId="0" borderId="0" xfId="0" applyFont="1" applyAlignment="1">
      <alignment horizontal="center" vertical="top"/>
    </xf>
    <xf numFmtId="0" fontId="25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10" fillId="0" borderId="0" xfId="0" applyFont="1" applyAlignment="1">
      <alignment horizontal="right"/>
    </xf>
    <xf numFmtId="165" fontId="9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9" fontId="28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165" fontId="12" fillId="5" borderId="0" xfId="0" applyNumberFormat="1" applyFont="1" applyFill="1"/>
    <xf numFmtId="0" fontId="12" fillId="15" borderId="0" xfId="0" applyFont="1" applyFill="1" applyAlignment="1">
      <alignment vertical="center" wrapText="1"/>
    </xf>
  </cellXfs>
  <cellStyles count="2">
    <cellStyle name="Обычный" xfId="0" builtinId="0"/>
    <cellStyle name="Процентный" xfId="1" builtinId="5"/>
  </cellStyles>
  <dxfs count="2"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76A5-7881-CE4A-80CE-1784A7448322}">
  <dimension ref="A1:AA1450"/>
  <sheetViews>
    <sheetView tabSelected="1" topLeftCell="A11" workbookViewId="0">
      <selection activeCell="C45" sqref="C45"/>
    </sheetView>
  </sheetViews>
  <sheetFormatPr baseColWidth="10" defaultColWidth="10.28515625" defaultRowHeight="18"/>
  <cols>
    <col min="1" max="1" width="22.7109375" customWidth="1"/>
    <col min="2" max="25" width="11" customWidth="1"/>
  </cols>
  <sheetData>
    <row r="1" spans="1:27" ht="30.75" customHeight="1">
      <c r="A1" s="1"/>
      <c r="B1" s="2"/>
      <c r="C1" s="2"/>
      <c r="D1" s="3"/>
      <c r="E1" s="3"/>
      <c r="F1" s="3"/>
      <c r="G1" s="3"/>
      <c r="H1" s="4"/>
      <c r="I1" s="5"/>
      <c r="J1" s="6"/>
      <c r="M1" s="7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7" ht="1.5" customHeight="1">
      <c r="B2" s="9"/>
    </row>
    <row r="3" spans="1:27" ht="18.75" customHeight="1">
      <c r="A3" s="10" t="s">
        <v>0</v>
      </c>
      <c r="B3" s="11">
        <v>46082</v>
      </c>
      <c r="C3" s="11">
        <v>46113</v>
      </c>
      <c r="D3" s="11">
        <v>46143</v>
      </c>
      <c r="E3" s="11">
        <v>46174</v>
      </c>
      <c r="F3" s="11">
        <v>46204</v>
      </c>
      <c r="G3" s="11">
        <v>46235</v>
      </c>
      <c r="H3" s="11">
        <v>46266</v>
      </c>
      <c r="I3" s="11">
        <v>46296</v>
      </c>
      <c r="J3" s="11">
        <v>46327</v>
      </c>
      <c r="K3" s="11">
        <v>46357</v>
      </c>
      <c r="L3" s="12" t="s">
        <v>1</v>
      </c>
      <c r="M3" s="11">
        <v>46388</v>
      </c>
      <c r="N3" s="11">
        <v>46419</v>
      </c>
      <c r="O3" s="11">
        <v>46447</v>
      </c>
      <c r="P3" s="11">
        <v>46478</v>
      </c>
      <c r="Q3" s="11">
        <v>46508</v>
      </c>
      <c r="R3" s="11">
        <v>46539</v>
      </c>
      <c r="S3" s="11">
        <v>46569</v>
      </c>
      <c r="T3" s="11">
        <v>46600</v>
      </c>
      <c r="U3" s="11">
        <v>46631</v>
      </c>
      <c r="V3" s="11">
        <v>46661</v>
      </c>
      <c r="W3" s="11">
        <v>46692</v>
      </c>
      <c r="X3" s="11">
        <v>46722</v>
      </c>
      <c r="Y3" s="58" t="s">
        <v>1</v>
      </c>
      <c r="Z3" s="84"/>
      <c r="AA3" s="10"/>
    </row>
    <row r="4" spans="1:27" ht="9.75" customHeight="1">
      <c r="A4" s="13"/>
      <c r="B4" s="13"/>
      <c r="L4" s="14"/>
      <c r="N4" s="13"/>
      <c r="Y4" s="54"/>
      <c r="Z4" s="13"/>
      <c r="AA4" s="13"/>
    </row>
    <row r="5" spans="1:27" ht="17.25" customHeight="1">
      <c r="A5" s="16" t="s">
        <v>2</v>
      </c>
      <c r="B5" s="17">
        <v>500000</v>
      </c>
      <c r="C5" s="18"/>
      <c r="D5" s="18"/>
      <c r="E5" s="18"/>
      <c r="F5" s="18"/>
      <c r="G5" s="18"/>
      <c r="H5" s="18"/>
      <c r="I5" s="18"/>
      <c r="J5" s="18"/>
      <c r="K5" s="18"/>
      <c r="L5" s="19"/>
      <c r="M5" s="18"/>
      <c r="N5" s="17"/>
      <c r="O5" s="18"/>
      <c r="P5" s="18"/>
      <c r="Q5" s="18"/>
      <c r="R5" s="18"/>
      <c r="S5" s="18"/>
      <c r="T5" s="18"/>
      <c r="U5" s="18"/>
      <c r="V5" s="18"/>
      <c r="W5" s="18"/>
      <c r="X5" s="18"/>
      <c r="Y5" s="59"/>
      <c r="AA5" s="85"/>
    </row>
    <row r="6" spans="1:27" ht="17.25" customHeight="1">
      <c r="A6" s="20"/>
      <c r="B6" s="20"/>
      <c r="L6" s="21"/>
      <c r="N6" s="20"/>
      <c r="Y6" s="54"/>
      <c r="AA6" s="20"/>
    </row>
    <row r="7" spans="1:27" ht="17.25" customHeight="1">
      <c r="A7" s="22" t="s">
        <v>3</v>
      </c>
      <c r="B7" s="23">
        <f>B10*B11</f>
        <v>31800</v>
      </c>
      <c r="C7" s="23">
        <f t="shared" ref="C7:K7" si="0">C10*C11</f>
        <v>95400</v>
      </c>
      <c r="D7" s="23">
        <f t="shared" si="0"/>
        <v>190800</v>
      </c>
      <c r="E7" s="23">
        <f t="shared" si="0"/>
        <v>286200</v>
      </c>
      <c r="F7" s="23">
        <f t="shared" si="0"/>
        <v>381600</v>
      </c>
      <c r="G7" s="23">
        <f t="shared" si="0"/>
        <v>477000</v>
      </c>
      <c r="H7" s="23">
        <f t="shared" si="0"/>
        <v>572400</v>
      </c>
      <c r="I7" s="23">
        <f t="shared" si="0"/>
        <v>667800</v>
      </c>
      <c r="J7" s="23">
        <f t="shared" si="0"/>
        <v>763200</v>
      </c>
      <c r="K7" s="23">
        <f t="shared" si="0"/>
        <v>858600</v>
      </c>
      <c r="L7" s="24">
        <f>SUM(B7:K7)</f>
        <v>4324800</v>
      </c>
      <c r="M7" s="23">
        <f>M10*M11</f>
        <v>954000</v>
      </c>
      <c r="N7" s="23">
        <f t="shared" ref="N7:X7" si="1">N10*N11</f>
        <v>1017600</v>
      </c>
      <c r="O7" s="23">
        <f t="shared" si="1"/>
        <v>1081200</v>
      </c>
      <c r="P7" s="23">
        <f t="shared" si="1"/>
        <v>1144800</v>
      </c>
      <c r="Q7" s="23">
        <f t="shared" si="1"/>
        <v>1208400</v>
      </c>
      <c r="R7" s="23">
        <f t="shared" si="1"/>
        <v>1240200</v>
      </c>
      <c r="S7" s="23">
        <f t="shared" si="1"/>
        <v>1272000</v>
      </c>
      <c r="T7" s="23">
        <f t="shared" si="1"/>
        <v>1303800</v>
      </c>
      <c r="U7" s="23">
        <f t="shared" si="1"/>
        <v>1335600</v>
      </c>
      <c r="V7" s="23">
        <f t="shared" si="1"/>
        <v>1367400</v>
      </c>
      <c r="W7" s="23">
        <f t="shared" si="1"/>
        <v>1399200</v>
      </c>
      <c r="X7" s="23">
        <f t="shared" si="1"/>
        <v>1431000</v>
      </c>
      <c r="Y7" s="24">
        <f>SUM(M7:X7)</f>
        <v>14755200</v>
      </c>
      <c r="AA7" s="85"/>
    </row>
    <row r="8" spans="1:27" ht="17.25" customHeight="1">
      <c r="A8" s="25" t="s">
        <v>4</v>
      </c>
      <c r="B8" s="26">
        <v>5000</v>
      </c>
      <c r="C8" s="26">
        <v>15000</v>
      </c>
      <c r="D8" s="26">
        <v>30000</v>
      </c>
      <c r="E8" s="26">
        <v>45000</v>
      </c>
      <c r="F8" s="26">
        <v>60000</v>
      </c>
      <c r="G8" s="26">
        <v>75000</v>
      </c>
      <c r="H8" s="26">
        <v>90000</v>
      </c>
      <c r="I8" s="26">
        <v>105000</v>
      </c>
      <c r="J8" s="26">
        <v>120000</v>
      </c>
      <c r="K8" s="26">
        <v>135000</v>
      </c>
      <c r="L8" s="27"/>
      <c r="M8" s="26">
        <f>K8+15000</f>
        <v>150000</v>
      </c>
      <c r="N8" s="28">
        <f>M8+10000</f>
        <v>160000</v>
      </c>
      <c r="O8" s="28">
        <f t="shared" ref="O8:Q8" si="2">N8+10000</f>
        <v>170000</v>
      </c>
      <c r="P8" s="28">
        <f t="shared" si="2"/>
        <v>180000</v>
      </c>
      <c r="Q8" s="28">
        <f t="shared" si="2"/>
        <v>190000</v>
      </c>
      <c r="R8" s="28">
        <f>Q8+5000</f>
        <v>195000</v>
      </c>
      <c r="S8" s="28">
        <f t="shared" ref="S8:X8" si="3">R8+5000</f>
        <v>200000</v>
      </c>
      <c r="T8" s="28">
        <f t="shared" si="3"/>
        <v>205000</v>
      </c>
      <c r="U8" s="28">
        <f t="shared" si="3"/>
        <v>210000</v>
      </c>
      <c r="V8" s="28">
        <f t="shared" si="3"/>
        <v>215000</v>
      </c>
      <c r="W8" s="28">
        <f t="shared" si="3"/>
        <v>220000</v>
      </c>
      <c r="X8" s="28">
        <f t="shared" si="3"/>
        <v>225000</v>
      </c>
      <c r="Y8" s="27"/>
      <c r="AA8" s="28"/>
    </row>
    <row r="9" spans="1:27" ht="17.25" customHeight="1">
      <c r="A9" s="25" t="s">
        <v>5</v>
      </c>
      <c r="B9" s="29">
        <v>1.2E-2</v>
      </c>
      <c r="C9" s="29">
        <v>1.2E-2</v>
      </c>
      <c r="D9" s="29">
        <v>1.2E-2</v>
      </c>
      <c r="E9" s="29">
        <v>1.2E-2</v>
      </c>
      <c r="F9" s="29">
        <v>1.2E-2</v>
      </c>
      <c r="G9" s="29">
        <v>1.2E-2</v>
      </c>
      <c r="H9" s="29">
        <v>1.2E-2</v>
      </c>
      <c r="I9" s="29">
        <v>1.2E-2</v>
      </c>
      <c r="J9" s="29">
        <v>1.2E-2</v>
      </c>
      <c r="K9" s="29">
        <v>1.2E-2</v>
      </c>
      <c r="L9" s="21"/>
      <c r="M9" s="29">
        <f>1.2%</f>
        <v>1.2E-2</v>
      </c>
      <c r="N9" s="29">
        <f t="shared" ref="N9:X9" si="4">1.2%</f>
        <v>1.2E-2</v>
      </c>
      <c r="O9" s="29">
        <f t="shared" si="4"/>
        <v>1.2E-2</v>
      </c>
      <c r="P9" s="29">
        <f t="shared" si="4"/>
        <v>1.2E-2</v>
      </c>
      <c r="Q9" s="29">
        <f t="shared" si="4"/>
        <v>1.2E-2</v>
      </c>
      <c r="R9" s="29">
        <f t="shared" si="4"/>
        <v>1.2E-2</v>
      </c>
      <c r="S9" s="29">
        <f t="shared" si="4"/>
        <v>1.2E-2</v>
      </c>
      <c r="T9" s="29">
        <f t="shared" si="4"/>
        <v>1.2E-2</v>
      </c>
      <c r="U9" s="29">
        <f t="shared" si="4"/>
        <v>1.2E-2</v>
      </c>
      <c r="V9" s="29">
        <f t="shared" si="4"/>
        <v>1.2E-2</v>
      </c>
      <c r="W9" s="29">
        <f t="shared" si="4"/>
        <v>1.2E-2</v>
      </c>
      <c r="X9" s="29">
        <f t="shared" si="4"/>
        <v>1.2E-2</v>
      </c>
      <c r="Y9" s="60"/>
      <c r="AA9" s="20"/>
    </row>
    <row r="10" spans="1:27" ht="17.25" customHeight="1">
      <c r="A10" s="30" t="s">
        <v>6</v>
      </c>
      <c r="B10" s="31">
        <f>B8*B9</f>
        <v>60</v>
      </c>
      <c r="C10" s="31">
        <f t="shared" ref="C10:K10" si="5">C8*C9</f>
        <v>180</v>
      </c>
      <c r="D10" s="31">
        <f t="shared" si="5"/>
        <v>360</v>
      </c>
      <c r="E10" s="31">
        <f t="shared" si="5"/>
        <v>540</v>
      </c>
      <c r="F10" s="31">
        <f t="shared" si="5"/>
        <v>720</v>
      </c>
      <c r="G10" s="31">
        <f t="shared" si="5"/>
        <v>900</v>
      </c>
      <c r="H10" s="31">
        <f t="shared" si="5"/>
        <v>1080</v>
      </c>
      <c r="I10" s="31">
        <f t="shared" si="5"/>
        <v>1260</v>
      </c>
      <c r="J10" s="31">
        <f t="shared" si="5"/>
        <v>1440</v>
      </c>
      <c r="K10" s="31">
        <f t="shared" si="5"/>
        <v>1620</v>
      </c>
      <c r="L10" s="32"/>
      <c r="M10" s="31">
        <f>M8*M9</f>
        <v>1800</v>
      </c>
      <c r="N10" s="31">
        <f t="shared" ref="N10:X10" si="6">N8*N9</f>
        <v>1920</v>
      </c>
      <c r="O10" s="31">
        <f t="shared" si="6"/>
        <v>2040</v>
      </c>
      <c r="P10" s="31">
        <f t="shared" si="6"/>
        <v>2160</v>
      </c>
      <c r="Q10" s="31">
        <f t="shared" si="6"/>
        <v>2280</v>
      </c>
      <c r="R10" s="31">
        <f t="shared" si="6"/>
        <v>2340</v>
      </c>
      <c r="S10" s="31">
        <f t="shared" si="6"/>
        <v>2400</v>
      </c>
      <c r="T10" s="31">
        <f t="shared" si="6"/>
        <v>2460</v>
      </c>
      <c r="U10" s="31">
        <f t="shared" si="6"/>
        <v>2520</v>
      </c>
      <c r="V10" s="31">
        <f t="shared" si="6"/>
        <v>2580</v>
      </c>
      <c r="W10" s="31">
        <f t="shared" si="6"/>
        <v>2640</v>
      </c>
      <c r="X10" s="31">
        <f t="shared" si="6"/>
        <v>2700</v>
      </c>
      <c r="Y10" s="61"/>
      <c r="AA10" s="28"/>
    </row>
    <row r="11" spans="1:27" ht="17.25" customHeight="1">
      <c r="A11" s="25" t="s">
        <v>7</v>
      </c>
      <c r="B11" s="26">
        <v>530</v>
      </c>
      <c r="C11" s="26">
        <v>530</v>
      </c>
      <c r="D11" s="26">
        <v>530</v>
      </c>
      <c r="E11" s="26">
        <v>530</v>
      </c>
      <c r="F11" s="26">
        <v>530</v>
      </c>
      <c r="G11" s="26">
        <v>530</v>
      </c>
      <c r="H11" s="26">
        <v>530</v>
      </c>
      <c r="I11" s="26">
        <v>530</v>
      </c>
      <c r="J11" s="26">
        <v>530</v>
      </c>
      <c r="K11" s="26">
        <v>530</v>
      </c>
      <c r="L11" s="33"/>
      <c r="M11" s="26">
        <v>530</v>
      </c>
      <c r="N11" s="26">
        <v>530</v>
      </c>
      <c r="O11" s="26">
        <v>530</v>
      </c>
      <c r="P11" s="26">
        <v>530</v>
      </c>
      <c r="Q11" s="26">
        <v>530</v>
      </c>
      <c r="R11" s="26">
        <v>530</v>
      </c>
      <c r="S11" s="26">
        <v>530</v>
      </c>
      <c r="T11" s="26">
        <v>530</v>
      </c>
      <c r="U11" s="26">
        <v>530</v>
      </c>
      <c r="V11" s="26">
        <v>530</v>
      </c>
      <c r="W11" s="26">
        <v>530</v>
      </c>
      <c r="X11" s="26">
        <v>530</v>
      </c>
      <c r="Y11" s="62"/>
      <c r="AA11" s="34"/>
    </row>
    <row r="12" spans="1:27" ht="17.25" customHeight="1">
      <c r="A12" s="35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7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7"/>
      <c r="AA12" s="28"/>
    </row>
    <row r="13" spans="1:27" ht="17.25" customHeight="1">
      <c r="A13" s="36" t="s">
        <v>8</v>
      </c>
      <c r="B13" s="37">
        <f>SUM(B14:B19)</f>
        <v>532408</v>
      </c>
      <c r="C13" s="37">
        <f t="shared" ref="C13:K13" si="7">SUM(C14:C19)</f>
        <v>536224</v>
      </c>
      <c r="D13" s="37">
        <f t="shared" si="7"/>
        <v>541948</v>
      </c>
      <c r="E13" s="37">
        <f t="shared" si="7"/>
        <v>547672</v>
      </c>
      <c r="F13" s="37">
        <f t="shared" si="7"/>
        <v>553396</v>
      </c>
      <c r="G13" s="37">
        <f t="shared" si="7"/>
        <v>559120</v>
      </c>
      <c r="H13" s="37">
        <f t="shared" si="7"/>
        <v>564844</v>
      </c>
      <c r="I13" s="37">
        <f t="shared" si="7"/>
        <v>570568</v>
      </c>
      <c r="J13" s="37">
        <f t="shared" si="7"/>
        <v>576292</v>
      </c>
      <c r="K13" s="37">
        <f t="shared" si="7"/>
        <v>582016</v>
      </c>
      <c r="L13" s="38">
        <f>SUM(B13:K13)</f>
        <v>5564488</v>
      </c>
      <c r="M13" s="37">
        <f>SUM(M14:M19)</f>
        <v>487740</v>
      </c>
      <c r="N13" s="37">
        <f t="shared" ref="N13:X13" si="8">SUM(N14:N19)</f>
        <v>491556</v>
      </c>
      <c r="O13" s="37">
        <f t="shared" si="8"/>
        <v>437872</v>
      </c>
      <c r="P13" s="37">
        <f t="shared" si="8"/>
        <v>441688</v>
      </c>
      <c r="Q13" s="37">
        <f t="shared" si="8"/>
        <v>445504</v>
      </c>
      <c r="R13" s="37">
        <f t="shared" si="8"/>
        <v>447412</v>
      </c>
      <c r="S13" s="37">
        <f t="shared" si="8"/>
        <v>449320</v>
      </c>
      <c r="T13" s="37">
        <f t="shared" si="8"/>
        <v>451228</v>
      </c>
      <c r="U13" s="37">
        <f t="shared" si="8"/>
        <v>453136</v>
      </c>
      <c r="V13" s="37">
        <f t="shared" si="8"/>
        <v>455044</v>
      </c>
      <c r="W13" s="37">
        <f t="shared" si="8"/>
        <v>456952</v>
      </c>
      <c r="X13" s="37">
        <f t="shared" si="8"/>
        <v>458860</v>
      </c>
      <c r="Y13" s="38">
        <f>SUM(M13:X13)</f>
        <v>5476312</v>
      </c>
      <c r="AA13" s="86"/>
    </row>
    <row r="14" spans="1:27" ht="17.25" customHeight="1">
      <c r="A14" s="25" t="s">
        <v>9</v>
      </c>
      <c r="B14" s="34">
        <v>100000</v>
      </c>
      <c r="C14" s="34">
        <v>100000</v>
      </c>
      <c r="D14" s="34">
        <v>100000</v>
      </c>
      <c r="E14" s="34">
        <v>100000</v>
      </c>
      <c r="F14" s="34">
        <v>100000</v>
      </c>
      <c r="G14" s="34">
        <v>100000</v>
      </c>
      <c r="H14" s="34">
        <v>100000</v>
      </c>
      <c r="I14" s="34">
        <v>100000</v>
      </c>
      <c r="J14" s="34">
        <v>100000</v>
      </c>
      <c r="K14" s="34">
        <v>100000</v>
      </c>
      <c r="L14" s="55">
        <f t="shared" ref="L14:L19" si="9">SUM(B14:K14)</f>
        <v>1000000</v>
      </c>
      <c r="M14" s="34">
        <f>100000</f>
        <v>100000</v>
      </c>
      <c r="N14" s="34">
        <f t="shared" ref="N14:X14" si="10">100000</f>
        <v>100000</v>
      </c>
      <c r="O14" s="34">
        <f t="shared" si="10"/>
        <v>100000</v>
      </c>
      <c r="P14" s="34">
        <f t="shared" si="10"/>
        <v>100000</v>
      </c>
      <c r="Q14" s="34">
        <f t="shared" si="10"/>
        <v>100000</v>
      </c>
      <c r="R14" s="34">
        <f t="shared" si="10"/>
        <v>100000</v>
      </c>
      <c r="S14" s="34">
        <f t="shared" si="10"/>
        <v>100000</v>
      </c>
      <c r="T14" s="34">
        <f t="shared" si="10"/>
        <v>100000</v>
      </c>
      <c r="U14" s="34">
        <f t="shared" si="10"/>
        <v>100000</v>
      </c>
      <c r="V14" s="34">
        <f t="shared" si="10"/>
        <v>100000</v>
      </c>
      <c r="W14" s="34">
        <f t="shared" si="10"/>
        <v>100000</v>
      </c>
      <c r="X14" s="34">
        <f t="shared" si="10"/>
        <v>100000</v>
      </c>
      <c r="Y14" s="55">
        <f t="shared" ref="Y14:Y19" si="11">SUM(M14:X14)</f>
        <v>1200000</v>
      </c>
      <c r="AA14" s="28"/>
    </row>
    <row r="15" spans="1:27" ht="17.25" customHeight="1">
      <c r="A15" s="39" t="s">
        <v>10</v>
      </c>
      <c r="B15" s="34">
        <f>B14*13%</f>
        <v>13000</v>
      </c>
      <c r="C15" s="34">
        <f t="shared" ref="C15:K15" si="12">C14*13%</f>
        <v>13000</v>
      </c>
      <c r="D15" s="34">
        <f t="shared" si="12"/>
        <v>13000</v>
      </c>
      <c r="E15" s="34">
        <f t="shared" si="12"/>
        <v>13000</v>
      </c>
      <c r="F15" s="34">
        <f t="shared" si="12"/>
        <v>13000</v>
      </c>
      <c r="G15" s="34">
        <f t="shared" si="12"/>
        <v>13000</v>
      </c>
      <c r="H15" s="34">
        <f t="shared" si="12"/>
        <v>13000</v>
      </c>
      <c r="I15" s="34">
        <f t="shared" si="12"/>
        <v>13000</v>
      </c>
      <c r="J15" s="34">
        <f t="shared" si="12"/>
        <v>13000</v>
      </c>
      <c r="K15" s="34">
        <f t="shared" si="12"/>
        <v>13000</v>
      </c>
      <c r="L15" s="55">
        <f t="shared" si="9"/>
        <v>130000</v>
      </c>
      <c r="M15" s="34">
        <f>M14*13%</f>
        <v>13000</v>
      </c>
      <c r="N15" s="34">
        <f t="shared" ref="N15:X15" si="13">N14*13%</f>
        <v>13000</v>
      </c>
      <c r="O15" s="34">
        <f t="shared" si="13"/>
        <v>13000</v>
      </c>
      <c r="P15" s="34">
        <f t="shared" si="13"/>
        <v>13000</v>
      </c>
      <c r="Q15" s="34">
        <f t="shared" si="13"/>
        <v>13000</v>
      </c>
      <c r="R15" s="34">
        <f t="shared" si="13"/>
        <v>13000</v>
      </c>
      <c r="S15" s="34">
        <f t="shared" si="13"/>
        <v>13000</v>
      </c>
      <c r="T15" s="34">
        <f t="shared" si="13"/>
        <v>13000</v>
      </c>
      <c r="U15" s="34">
        <f t="shared" si="13"/>
        <v>13000</v>
      </c>
      <c r="V15" s="34">
        <f t="shared" si="13"/>
        <v>13000</v>
      </c>
      <c r="W15" s="34">
        <f t="shared" si="13"/>
        <v>13000</v>
      </c>
      <c r="X15" s="34">
        <f t="shared" si="13"/>
        <v>13000</v>
      </c>
      <c r="Y15" s="55">
        <f t="shared" si="11"/>
        <v>156000</v>
      </c>
      <c r="AA15" s="34"/>
    </row>
    <row r="16" spans="1:27" ht="17.25" customHeight="1">
      <c r="A16" s="39" t="s">
        <v>11</v>
      </c>
      <c r="B16" s="34">
        <v>300000</v>
      </c>
      <c r="C16" s="34">
        <v>300000</v>
      </c>
      <c r="D16" s="34">
        <v>300000</v>
      </c>
      <c r="E16" s="34">
        <v>300000</v>
      </c>
      <c r="F16" s="34">
        <v>300000</v>
      </c>
      <c r="G16" s="34">
        <v>300000</v>
      </c>
      <c r="H16" s="34">
        <v>300000</v>
      </c>
      <c r="I16" s="34">
        <v>300000</v>
      </c>
      <c r="J16" s="34">
        <v>300000</v>
      </c>
      <c r="K16" s="34">
        <v>300000</v>
      </c>
      <c r="L16" s="55">
        <f t="shared" si="9"/>
        <v>3000000</v>
      </c>
      <c r="M16" s="34">
        <f>200000</f>
        <v>200000</v>
      </c>
      <c r="N16" s="34">
        <f t="shared" ref="N16:X16" si="14">200000</f>
        <v>200000</v>
      </c>
      <c r="O16" s="34">
        <f t="shared" si="14"/>
        <v>200000</v>
      </c>
      <c r="P16" s="34">
        <f t="shared" si="14"/>
        <v>200000</v>
      </c>
      <c r="Q16" s="34">
        <f t="shared" si="14"/>
        <v>200000</v>
      </c>
      <c r="R16" s="34">
        <f t="shared" si="14"/>
        <v>200000</v>
      </c>
      <c r="S16" s="34">
        <f t="shared" si="14"/>
        <v>200000</v>
      </c>
      <c r="T16" s="34">
        <f t="shared" si="14"/>
        <v>200000</v>
      </c>
      <c r="U16" s="34">
        <f t="shared" si="14"/>
        <v>200000</v>
      </c>
      <c r="V16" s="34">
        <f t="shared" si="14"/>
        <v>200000</v>
      </c>
      <c r="W16" s="34">
        <f t="shared" si="14"/>
        <v>200000</v>
      </c>
      <c r="X16" s="34">
        <f t="shared" si="14"/>
        <v>200000</v>
      </c>
      <c r="Y16" s="55">
        <f t="shared" si="11"/>
        <v>2400000</v>
      </c>
      <c r="AA16" s="28"/>
    </row>
    <row r="17" spans="1:27" ht="17.25" customHeight="1">
      <c r="A17" s="39" t="s">
        <v>12</v>
      </c>
      <c r="B17" s="34">
        <v>30000</v>
      </c>
      <c r="C17" s="34">
        <v>30000</v>
      </c>
      <c r="D17" s="34">
        <v>30000</v>
      </c>
      <c r="E17" s="34">
        <v>30000</v>
      </c>
      <c r="F17" s="34">
        <v>30000</v>
      </c>
      <c r="G17" s="34">
        <v>30000</v>
      </c>
      <c r="H17" s="34">
        <v>30000</v>
      </c>
      <c r="I17" s="34">
        <v>30000</v>
      </c>
      <c r="J17" s="34">
        <v>30000</v>
      </c>
      <c r="K17" s="34">
        <v>30000</v>
      </c>
      <c r="L17" s="55">
        <f t="shared" si="9"/>
        <v>300000</v>
      </c>
      <c r="M17" s="34">
        <v>30000</v>
      </c>
      <c r="N17" s="34">
        <v>30000</v>
      </c>
      <c r="O17" s="34">
        <v>30000</v>
      </c>
      <c r="P17" s="34">
        <v>30000</v>
      </c>
      <c r="Q17" s="34">
        <v>30000</v>
      </c>
      <c r="R17" s="34">
        <v>30000</v>
      </c>
      <c r="S17" s="34">
        <v>30000</v>
      </c>
      <c r="T17" s="34">
        <v>30000</v>
      </c>
      <c r="U17" s="34">
        <v>30000</v>
      </c>
      <c r="V17" s="34">
        <v>30000</v>
      </c>
      <c r="W17" s="34">
        <v>30000</v>
      </c>
      <c r="X17" s="34">
        <v>30000</v>
      </c>
      <c r="Y17" s="55">
        <f t="shared" si="11"/>
        <v>360000</v>
      </c>
      <c r="AA17" s="28"/>
    </row>
    <row r="18" spans="1:27" ht="17.25" customHeight="1">
      <c r="A18" s="39" t="s">
        <v>13</v>
      </c>
      <c r="B18" s="34">
        <f>$B$34/12</f>
        <v>87500</v>
      </c>
      <c r="C18" s="34">
        <f t="shared" ref="C18:K18" si="15">$B$34/12</f>
        <v>87500</v>
      </c>
      <c r="D18" s="34">
        <f t="shared" si="15"/>
        <v>87500</v>
      </c>
      <c r="E18" s="34">
        <f t="shared" si="15"/>
        <v>87500</v>
      </c>
      <c r="F18" s="34">
        <f t="shared" si="15"/>
        <v>87500</v>
      </c>
      <c r="G18" s="34">
        <f t="shared" si="15"/>
        <v>87500</v>
      </c>
      <c r="H18" s="34">
        <f t="shared" si="15"/>
        <v>87500</v>
      </c>
      <c r="I18" s="34">
        <f t="shared" si="15"/>
        <v>87500</v>
      </c>
      <c r="J18" s="34">
        <f t="shared" si="15"/>
        <v>87500</v>
      </c>
      <c r="K18" s="34">
        <f t="shared" si="15"/>
        <v>87500</v>
      </c>
      <c r="L18" s="55">
        <f t="shared" si="9"/>
        <v>875000</v>
      </c>
      <c r="M18" s="34">
        <v>87500</v>
      </c>
      <c r="N18" s="34">
        <v>87500</v>
      </c>
      <c r="O18" s="34">
        <v>30000</v>
      </c>
      <c r="P18" s="34">
        <v>30000</v>
      </c>
      <c r="Q18" s="34">
        <v>30000</v>
      </c>
      <c r="R18" s="34">
        <v>30000</v>
      </c>
      <c r="S18" s="34">
        <v>30000</v>
      </c>
      <c r="T18" s="34">
        <v>30000</v>
      </c>
      <c r="U18" s="34">
        <v>30000</v>
      </c>
      <c r="V18" s="34">
        <v>30000</v>
      </c>
      <c r="W18" s="34">
        <v>30000</v>
      </c>
      <c r="X18" s="34">
        <v>30000</v>
      </c>
      <c r="Y18" s="55">
        <f t="shared" si="11"/>
        <v>475000</v>
      </c>
      <c r="AA18" s="28"/>
    </row>
    <row r="19" spans="1:27" ht="17.25" customHeight="1">
      <c r="A19" s="39" t="s">
        <v>14</v>
      </c>
      <c r="B19" s="34">
        <f>B7*6%</f>
        <v>1908</v>
      </c>
      <c r="C19" s="34">
        <f t="shared" ref="C19:K19" si="16">C7*6%</f>
        <v>5724</v>
      </c>
      <c r="D19" s="34">
        <f t="shared" si="16"/>
        <v>11448</v>
      </c>
      <c r="E19" s="34">
        <f t="shared" si="16"/>
        <v>17172</v>
      </c>
      <c r="F19" s="34">
        <f t="shared" si="16"/>
        <v>22896</v>
      </c>
      <c r="G19" s="34">
        <f t="shared" si="16"/>
        <v>28620</v>
      </c>
      <c r="H19" s="34">
        <f t="shared" si="16"/>
        <v>34344</v>
      </c>
      <c r="I19" s="34">
        <f t="shared" si="16"/>
        <v>40068</v>
      </c>
      <c r="J19" s="34">
        <f t="shared" si="16"/>
        <v>45792</v>
      </c>
      <c r="K19" s="34">
        <f t="shared" si="16"/>
        <v>51516</v>
      </c>
      <c r="L19" s="55">
        <f t="shared" si="9"/>
        <v>259488</v>
      </c>
      <c r="M19" s="34">
        <f>M7*6%</f>
        <v>57240</v>
      </c>
      <c r="N19" s="34">
        <f t="shared" ref="N19:X19" si="17">N7*6%</f>
        <v>61056</v>
      </c>
      <c r="O19" s="34">
        <f t="shared" si="17"/>
        <v>64872</v>
      </c>
      <c r="P19" s="34">
        <f t="shared" si="17"/>
        <v>68688</v>
      </c>
      <c r="Q19" s="34">
        <f t="shared" si="17"/>
        <v>72504</v>
      </c>
      <c r="R19" s="34">
        <f t="shared" si="17"/>
        <v>74412</v>
      </c>
      <c r="S19" s="34">
        <f t="shared" si="17"/>
        <v>76320</v>
      </c>
      <c r="T19" s="34">
        <f t="shared" si="17"/>
        <v>78228</v>
      </c>
      <c r="U19" s="34">
        <f t="shared" si="17"/>
        <v>80136</v>
      </c>
      <c r="V19" s="34">
        <f t="shared" si="17"/>
        <v>82044</v>
      </c>
      <c r="W19" s="34">
        <f t="shared" si="17"/>
        <v>83952</v>
      </c>
      <c r="X19" s="34">
        <f t="shared" si="17"/>
        <v>85860</v>
      </c>
      <c r="Y19" s="55">
        <f t="shared" si="11"/>
        <v>885312</v>
      </c>
      <c r="AA19" s="34"/>
    </row>
    <row r="20" spans="1:27" ht="17.25" customHeight="1">
      <c r="A20" s="39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3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3"/>
      <c r="AA20" s="34"/>
    </row>
    <row r="21" spans="1:27" ht="17.25" customHeight="1">
      <c r="A21" s="39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27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3"/>
      <c r="AA21" s="28"/>
    </row>
    <row r="22" spans="1:27" ht="17.25" customHeight="1">
      <c r="A22" s="40" t="s">
        <v>15</v>
      </c>
      <c r="B22" s="41">
        <f>B5+B7-B13-B34</f>
        <v>-1050608</v>
      </c>
      <c r="C22" s="41">
        <f>C5+C7-C13</f>
        <v>-440824</v>
      </c>
      <c r="D22" s="41">
        <f t="shared" ref="D22:K22" si="18">D5+D7-D13</f>
        <v>-351148</v>
      </c>
      <c r="E22" s="41">
        <f t="shared" si="18"/>
        <v>-261472</v>
      </c>
      <c r="F22" s="41">
        <f t="shared" si="18"/>
        <v>-171796</v>
      </c>
      <c r="G22" s="41">
        <f t="shared" si="18"/>
        <v>-82120</v>
      </c>
      <c r="H22" s="41">
        <f t="shared" si="18"/>
        <v>7556</v>
      </c>
      <c r="I22" s="41">
        <f t="shared" si="18"/>
        <v>97232</v>
      </c>
      <c r="J22" s="41">
        <f t="shared" si="18"/>
        <v>186908</v>
      </c>
      <c r="K22" s="41">
        <f t="shared" si="18"/>
        <v>276584</v>
      </c>
      <c r="L22" s="43">
        <f>SUM(B22:K22)</f>
        <v>-1789688</v>
      </c>
      <c r="M22" s="42">
        <f>M7-M13</f>
        <v>466260</v>
      </c>
      <c r="N22" s="42">
        <f t="shared" ref="N22:X22" si="19">N7-N13</f>
        <v>526044</v>
      </c>
      <c r="O22" s="42">
        <f t="shared" si="19"/>
        <v>643328</v>
      </c>
      <c r="P22" s="42">
        <f t="shared" si="19"/>
        <v>703112</v>
      </c>
      <c r="Q22" s="42">
        <f t="shared" si="19"/>
        <v>762896</v>
      </c>
      <c r="R22" s="42">
        <f t="shared" si="19"/>
        <v>792788</v>
      </c>
      <c r="S22" s="42">
        <f t="shared" si="19"/>
        <v>822680</v>
      </c>
      <c r="T22" s="42">
        <f t="shared" si="19"/>
        <v>852572</v>
      </c>
      <c r="U22" s="42">
        <f t="shared" si="19"/>
        <v>882464</v>
      </c>
      <c r="V22" s="42">
        <f t="shared" si="19"/>
        <v>912356</v>
      </c>
      <c r="W22" s="42">
        <f t="shared" si="19"/>
        <v>942248</v>
      </c>
      <c r="X22" s="42">
        <f t="shared" si="19"/>
        <v>972140</v>
      </c>
      <c r="Y22" s="43">
        <f>SUM(M22:X22)</f>
        <v>9278888</v>
      </c>
      <c r="AA22" s="86"/>
    </row>
    <row r="23" spans="1:27" ht="17.25" customHeight="1">
      <c r="A23" s="39" t="s">
        <v>16</v>
      </c>
      <c r="B23" s="57">
        <f>B22/B7*100%</f>
        <v>-33.037987421383647</v>
      </c>
      <c r="C23" s="57">
        <f t="shared" ref="C23:K23" si="20">C22/C7*100%</f>
        <v>-4.6207966457023062</v>
      </c>
      <c r="D23" s="57">
        <f t="shared" si="20"/>
        <v>-1.8403983228511531</v>
      </c>
      <c r="E23" s="57">
        <f t="shared" si="20"/>
        <v>-0.91359888190076866</v>
      </c>
      <c r="F23" s="57">
        <f t="shared" si="20"/>
        <v>-0.45019916142557653</v>
      </c>
      <c r="G23" s="57">
        <f t="shared" si="20"/>
        <v>-0.17215932914046123</v>
      </c>
      <c r="H23" s="57">
        <f t="shared" si="20"/>
        <v>1.3200559049615654E-2</v>
      </c>
      <c r="I23" s="57">
        <f t="shared" si="20"/>
        <v>0.14560047918538485</v>
      </c>
      <c r="J23" s="57">
        <f t="shared" si="20"/>
        <v>0.24490041928721173</v>
      </c>
      <c r="K23" s="57">
        <f t="shared" si="20"/>
        <v>0.32213370603307712</v>
      </c>
      <c r="L23" s="45"/>
      <c r="M23" s="44">
        <f>M22/M7</f>
        <v>0.48874213836477987</v>
      </c>
      <c r="N23" s="44">
        <f t="shared" ref="N23:X23" si="21">N22/N7</f>
        <v>0.51694575471698112</v>
      </c>
      <c r="O23" s="44">
        <f t="shared" si="21"/>
        <v>0.59501294857565667</v>
      </c>
      <c r="P23" s="44">
        <f t="shared" si="21"/>
        <v>0.61417889587700913</v>
      </c>
      <c r="Q23" s="44">
        <f t="shared" si="21"/>
        <v>0.63132737504137704</v>
      </c>
      <c r="R23" s="44">
        <f t="shared" si="21"/>
        <v>0.63924205773262377</v>
      </c>
      <c r="S23" s="44">
        <f t="shared" si="21"/>
        <v>0.64676100628930822</v>
      </c>
      <c r="T23" s="44">
        <f t="shared" si="21"/>
        <v>0.65391317686761774</v>
      </c>
      <c r="U23" s="44">
        <f t="shared" si="21"/>
        <v>0.66072476789457923</v>
      </c>
      <c r="V23" s="44">
        <f t="shared" si="21"/>
        <v>0.66721954073424017</v>
      </c>
      <c r="W23" s="44">
        <f t="shared" si="21"/>
        <v>0.67341909662664379</v>
      </c>
      <c r="X23" s="44">
        <f t="shared" si="21"/>
        <v>0.6793431167016073</v>
      </c>
      <c r="Y23" s="45"/>
      <c r="AA23" s="44"/>
    </row>
    <row r="24" spans="1:27" ht="17.25" customHeight="1">
      <c r="A24" s="20"/>
      <c r="C24" s="20"/>
      <c r="D24" s="20"/>
      <c r="E24" s="20"/>
      <c r="F24" s="20"/>
      <c r="G24" s="20"/>
      <c r="H24" s="20"/>
      <c r="I24" s="20"/>
      <c r="J24" s="20"/>
      <c r="K24" s="20"/>
      <c r="L24" s="21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1"/>
      <c r="AA24" s="20"/>
    </row>
    <row r="25" spans="1:27" ht="17.25" customHeight="1">
      <c r="A25" s="16" t="s">
        <v>17</v>
      </c>
      <c r="B25" s="46"/>
      <c r="C25" s="47"/>
      <c r="D25" s="46"/>
      <c r="E25" s="46"/>
      <c r="F25" s="46"/>
      <c r="G25" s="46"/>
      <c r="H25" s="46"/>
      <c r="I25" s="46"/>
      <c r="J25" s="46"/>
      <c r="K25" s="46"/>
      <c r="L25" s="48"/>
      <c r="M25" s="46"/>
      <c r="N25" s="46"/>
      <c r="O25" s="47"/>
      <c r="P25" s="46"/>
      <c r="Q25" s="46"/>
      <c r="R25" s="46"/>
      <c r="S25" s="46"/>
      <c r="T25" s="46"/>
      <c r="U25" s="46"/>
      <c r="V25" s="46"/>
      <c r="W25" s="46"/>
      <c r="X25" s="46"/>
      <c r="Y25" s="63"/>
      <c r="AA25" s="20"/>
    </row>
    <row r="26" spans="1:27" ht="17.25" customHeight="1">
      <c r="A26" s="39" t="s">
        <v>18</v>
      </c>
      <c r="B26" s="56">
        <f>B5</f>
        <v>500000</v>
      </c>
      <c r="C26" s="56">
        <f>B27</f>
        <v>-550608</v>
      </c>
      <c r="D26" s="56">
        <f t="shared" ref="D26:K26" si="22">C27</f>
        <v>-991432</v>
      </c>
      <c r="E26" s="56">
        <f t="shared" si="22"/>
        <v>-1342580</v>
      </c>
      <c r="F26" s="56">
        <f t="shared" si="22"/>
        <v>-1604052</v>
      </c>
      <c r="G26" s="56">
        <f t="shared" si="22"/>
        <v>-1775848</v>
      </c>
      <c r="H26" s="56">
        <f t="shared" si="22"/>
        <v>-1857968</v>
      </c>
      <c r="I26" s="56">
        <f t="shared" si="22"/>
        <v>-1850412</v>
      </c>
      <c r="J26" s="56">
        <f t="shared" si="22"/>
        <v>-1753180</v>
      </c>
      <c r="K26" s="56">
        <f t="shared" si="22"/>
        <v>-1566272</v>
      </c>
      <c r="L26" s="89"/>
      <c r="M26" s="56">
        <f>K27</f>
        <v>-1289688</v>
      </c>
      <c r="N26" s="56">
        <f>M27</f>
        <v>-823428</v>
      </c>
      <c r="O26" s="56">
        <f t="shared" ref="O26:X26" si="23">N27</f>
        <v>-297384</v>
      </c>
      <c r="P26" s="56">
        <f t="shared" si="23"/>
        <v>345944</v>
      </c>
      <c r="Q26" s="56">
        <f t="shared" si="23"/>
        <v>1049056</v>
      </c>
      <c r="R26" s="56">
        <f t="shared" si="23"/>
        <v>1811952</v>
      </c>
      <c r="S26" s="56">
        <f t="shared" si="23"/>
        <v>2604740</v>
      </c>
      <c r="T26" s="56">
        <f t="shared" si="23"/>
        <v>3427420</v>
      </c>
      <c r="U26" s="56">
        <f t="shared" si="23"/>
        <v>4279992</v>
      </c>
      <c r="V26" s="56">
        <f t="shared" si="23"/>
        <v>5162456</v>
      </c>
      <c r="W26" s="56">
        <f t="shared" si="23"/>
        <v>6074812</v>
      </c>
      <c r="X26" s="56">
        <f t="shared" si="23"/>
        <v>7017060</v>
      </c>
      <c r="Y26" s="89"/>
      <c r="AA26" s="34"/>
    </row>
    <row r="27" spans="1:27" ht="17.25" customHeight="1">
      <c r="A27" s="39" t="s">
        <v>19</v>
      </c>
      <c r="B27" s="56">
        <f>B26+B22</f>
        <v>-550608</v>
      </c>
      <c r="C27" s="56">
        <f t="shared" ref="C27:K27" si="24">C26+C22</f>
        <v>-991432</v>
      </c>
      <c r="D27" s="56">
        <f t="shared" si="24"/>
        <v>-1342580</v>
      </c>
      <c r="E27" s="56">
        <f t="shared" si="24"/>
        <v>-1604052</v>
      </c>
      <c r="F27" s="56">
        <f t="shared" si="24"/>
        <v>-1775848</v>
      </c>
      <c r="G27" s="56">
        <f t="shared" si="24"/>
        <v>-1857968</v>
      </c>
      <c r="H27" s="56">
        <f t="shared" si="24"/>
        <v>-1850412</v>
      </c>
      <c r="I27" s="56">
        <f t="shared" si="24"/>
        <v>-1753180</v>
      </c>
      <c r="J27" s="56">
        <f t="shared" si="24"/>
        <v>-1566272</v>
      </c>
      <c r="K27" s="56">
        <f t="shared" si="24"/>
        <v>-1289688</v>
      </c>
      <c r="L27" s="89">
        <f>K27</f>
        <v>-1289688</v>
      </c>
      <c r="M27" s="56">
        <f>M26+M5+M22</f>
        <v>-823428</v>
      </c>
      <c r="N27" s="56">
        <f t="shared" ref="N27:X27" si="25">N26+N5+N22</f>
        <v>-297384</v>
      </c>
      <c r="O27" s="56">
        <f t="shared" si="25"/>
        <v>345944</v>
      </c>
      <c r="P27" s="56">
        <f t="shared" si="25"/>
        <v>1049056</v>
      </c>
      <c r="Q27" s="56">
        <f t="shared" si="25"/>
        <v>1811952</v>
      </c>
      <c r="R27" s="56">
        <f t="shared" si="25"/>
        <v>2604740</v>
      </c>
      <c r="S27" s="56">
        <f t="shared" si="25"/>
        <v>3427420</v>
      </c>
      <c r="T27" s="56">
        <f t="shared" si="25"/>
        <v>4279992</v>
      </c>
      <c r="U27" s="56">
        <f t="shared" si="25"/>
        <v>5162456</v>
      </c>
      <c r="V27" s="56">
        <f t="shared" si="25"/>
        <v>6074812</v>
      </c>
      <c r="W27" s="56">
        <f t="shared" si="25"/>
        <v>7017060</v>
      </c>
      <c r="X27" s="56">
        <f t="shared" si="25"/>
        <v>7989200</v>
      </c>
      <c r="Y27" s="89">
        <f>X27</f>
        <v>7989200</v>
      </c>
      <c r="AA27" s="34"/>
    </row>
    <row r="28" spans="1:27" ht="17" customHeight="1">
      <c r="B28" s="49"/>
      <c r="N28" s="15"/>
      <c r="O28" s="15"/>
      <c r="P28" s="15"/>
      <c r="Q28" s="15"/>
    </row>
    <row r="29" spans="1:27" ht="17" customHeight="1">
      <c r="A29" s="50" t="s">
        <v>20</v>
      </c>
      <c r="B29" s="50"/>
    </row>
    <row r="30" spans="1:27" ht="17" customHeight="1">
      <c r="A30" s="51" t="s">
        <v>21</v>
      </c>
      <c r="B30" s="56">
        <v>500000</v>
      </c>
      <c r="I30" s="68"/>
      <c r="J30" s="69"/>
    </row>
    <row r="31" spans="1:27" ht="17" customHeight="1">
      <c r="A31" s="51" t="s">
        <v>22</v>
      </c>
      <c r="B31" s="56">
        <v>200000</v>
      </c>
      <c r="J31" s="70"/>
    </row>
    <row r="32" spans="1:27" ht="17" customHeight="1">
      <c r="A32" s="51" t="s">
        <v>23</v>
      </c>
      <c r="B32" s="56">
        <v>200000</v>
      </c>
      <c r="J32" s="71"/>
    </row>
    <row r="33" spans="1:13" ht="17" customHeight="1">
      <c r="A33" s="51" t="s">
        <v>24</v>
      </c>
      <c r="B33" s="56">
        <v>150000</v>
      </c>
      <c r="E33" s="56"/>
      <c r="J33" s="72"/>
    </row>
    <row r="34" spans="1:13" ht="17" customHeight="1">
      <c r="A34" s="51" t="s">
        <v>25</v>
      </c>
      <c r="B34" s="56">
        <f>SUM(B30:B33)</f>
        <v>1050000</v>
      </c>
      <c r="J34" s="73"/>
      <c r="K34" s="74"/>
      <c r="M34" s="75"/>
    </row>
    <row r="35" spans="1:13" ht="17" customHeight="1">
      <c r="J35" s="76"/>
    </row>
    <row r="36" spans="1:13" ht="18" customHeight="1">
      <c r="A36" s="52" t="s">
        <v>26</v>
      </c>
      <c r="B36" s="90" t="s">
        <v>29</v>
      </c>
      <c r="C36" s="90" t="s">
        <v>30</v>
      </c>
      <c r="L36" s="77"/>
    </row>
    <row r="37" spans="1:13" ht="16" customHeight="1">
      <c r="A37" t="s">
        <v>25</v>
      </c>
      <c r="B37" s="56">
        <f>L13</f>
        <v>5564488</v>
      </c>
      <c r="C37" s="56">
        <f>Y13</f>
        <v>5476312</v>
      </c>
      <c r="L37" s="78"/>
    </row>
    <row r="38" spans="1:13" ht="15" customHeight="1">
      <c r="L38" s="78"/>
    </row>
    <row r="39" spans="1:13" ht="15" customHeight="1">
      <c r="A39" s="67" t="s">
        <v>28</v>
      </c>
      <c r="B39" s="67" t="s">
        <v>32</v>
      </c>
      <c r="C39" s="67" t="s">
        <v>29</v>
      </c>
      <c r="D39" s="67" t="s">
        <v>30</v>
      </c>
      <c r="L39" s="78"/>
    </row>
    <row r="40" spans="1:13" ht="17" customHeight="1">
      <c r="A40" s="66" t="s">
        <v>27</v>
      </c>
      <c r="B40" s="56">
        <f>C40+D40</f>
        <v>11256600</v>
      </c>
      <c r="C40" s="56">
        <v>394800</v>
      </c>
      <c r="D40" s="56">
        <v>10861800</v>
      </c>
      <c r="J40" s="79"/>
      <c r="K40" s="79"/>
      <c r="L40" s="78"/>
      <c r="M40" s="80"/>
    </row>
    <row r="41" spans="1:13" ht="17" customHeight="1">
      <c r="A41" s="66" t="s">
        <v>31</v>
      </c>
      <c r="B41" s="56">
        <v>6528000</v>
      </c>
      <c r="C41" s="65"/>
      <c r="D41" s="65"/>
      <c r="J41" s="81"/>
      <c r="K41" s="82"/>
      <c r="L41" s="78"/>
    </row>
    <row r="42" spans="1:13" ht="16" customHeight="1">
      <c r="A42" s="66" t="s">
        <v>33</v>
      </c>
      <c r="B42" s="87">
        <v>1.3</v>
      </c>
      <c r="C42" s="65"/>
      <c r="D42" s="65"/>
      <c r="J42" s="83"/>
      <c r="K42" s="83"/>
      <c r="L42" s="78"/>
    </row>
    <row r="43" spans="1:13">
      <c r="A43" s="66" t="s">
        <v>34</v>
      </c>
      <c r="B43" s="88" t="s">
        <v>35</v>
      </c>
      <c r="C43" s="65"/>
      <c r="D43" s="65"/>
    </row>
    <row r="44" spans="1:13" ht="16" customHeight="1">
      <c r="B44" s="64"/>
      <c r="J44" s="83"/>
      <c r="K44" s="83"/>
      <c r="L44" s="78"/>
    </row>
    <row r="45" spans="1:13" ht="13.5" customHeight="1">
      <c r="A45" s="53"/>
      <c r="B45" s="53"/>
      <c r="C45" s="53"/>
      <c r="D45" s="53"/>
      <c r="E45" s="53"/>
      <c r="F45" s="53"/>
      <c r="G45" s="53"/>
      <c r="H45" s="53"/>
      <c r="I45" s="53"/>
      <c r="L45" s="78"/>
    </row>
    <row r="46" spans="1:13" ht="13.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78"/>
      <c r="M46" s="53"/>
    </row>
    <row r="47" spans="1:13" ht="13.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78"/>
      <c r="M47" s="53"/>
    </row>
    <row r="48" spans="1:13" ht="13.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78"/>
      <c r="M48" s="53"/>
    </row>
    <row r="49" spans="1:13" ht="13.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78"/>
      <c r="M49" s="53"/>
    </row>
    <row r="50" spans="1:13" ht="14.2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78"/>
      <c r="M50" s="53"/>
    </row>
    <row r="51" spans="1:13" ht="13.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78"/>
      <c r="M51" s="53"/>
    </row>
    <row r="52" spans="1:13" ht="13.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78"/>
      <c r="M52" s="53"/>
    </row>
    <row r="53" spans="1:13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78"/>
      <c r="M53" s="53"/>
    </row>
    <row r="54" spans="1:13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78"/>
      <c r="M54" s="53"/>
    </row>
    <row r="55" spans="1:13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78"/>
      <c r="M55" s="53"/>
    </row>
    <row r="56" spans="1:13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78"/>
      <c r="M56" s="53"/>
    </row>
    <row r="57" spans="1:13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78"/>
      <c r="M57" s="53"/>
    </row>
    <row r="58" spans="1:13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78"/>
      <c r="M58" s="53"/>
    </row>
    <row r="59" spans="1:13" ht="15.75" customHeight="1">
      <c r="J59" s="53"/>
      <c r="K59" s="53"/>
      <c r="L59" s="78"/>
      <c r="M59" s="53"/>
    </row>
    <row r="60" spans="1:13" ht="15.75" customHeight="1">
      <c r="L60" s="78"/>
    </row>
    <row r="61" spans="1:13" ht="15.75" customHeight="1">
      <c r="L61" s="78"/>
    </row>
    <row r="62" spans="1:13" ht="15.75" customHeight="1">
      <c r="L62" s="78"/>
    </row>
    <row r="63" spans="1:13" ht="15.75" customHeight="1">
      <c r="L63" s="78"/>
    </row>
    <row r="64" spans="1:13" ht="15.75" customHeight="1">
      <c r="L64" s="78"/>
    </row>
    <row r="65" spans="12:12" ht="15.75" customHeight="1">
      <c r="L65" s="78"/>
    </row>
    <row r="66" spans="12:12" ht="15.75" customHeight="1">
      <c r="L66" s="78"/>
    </row>
    <row r="67" spans="12:12" ht="15.75" customHeight="1">
      <c r="L67" s="78"/>
    </row>
    <row r="68" spans="12:12" ht="15.75" customHeight="1">
      <c r="L68" s="78"/>
    </row>
    <row r="69" spans="12:12" ht="15.75" customHeight="1">
      <c r="L69" s="78"/>
    </row>
    <row r="70" spans="12:12" ht="15.75" customHeight="1">
      <c r="L70" s="78"/>
    </row>
    <row r="71" spans="12:12" ht="15.75" customHeight="1">
      <c r="L71" s="78"/>
    </row>
    <row r="72" spans="12:12" ht="15.75" customHeight="1">
      <c r="L72" s="78"/>
    </row>
    <row r="73" spans="12:12" ht="15.75" customHeight="1">
      <c r="L73" s="78"/>
    </row>
    <row r="74" spans="12:12" ht="15.75" customHeight="1">
      <c r="L74" s="78"/>
    </row>
    <row r="75" spans="12:12" ht="15.75" customHeight="1">
      <c r="L75" s="78"/>
    </row>
    <row r="76" spans="12:12" ht="15.75" customHeight="1">
      <c r="L76" s="78"/>
    </row>
    <row r="77" spans="12:12" ht="15.75" customHeight="1">
      <c r="L77" s="78"/>
    </row>
    <row r="78" spans="12:12" ht="15.75" customHeight="1">
      <c r="L78" s="78"/>
    </row>
    <row r="79" spans="12:12" ht="15.75" customHeight="1">
      <c r="L79" s="78"/>
    </row>
    <row r="80" spans="12:12" ht="15.75" customHeight="1">
      <c r="L80" s="78"/>
    </row>
    <row r="81" spans="12:12" ht="15.75" customHeight="1">
      <c r="L81" s="78"/>
    </row>
    <row r="82" spans="12:12" ht="15.75" customHeight="1">
      <c r="L82" s="78"/>
    </row>
    <row r="83" spans="12:12" ht="15.75" customHeight="1">
      <c r="L83" s="78"/>
    </row>
    <row r="84" spans="12:12" ht="15.75" customHeight="1">
      <c r="L84" s="78"/>
    </row>
    <row r="85" spans="12:12" ht="15.75" customHeight="1">
      <c r="L85" s="78"/>
    </row>
    <row r="86" spans="12:12" ht="15.75" customHeight="1">
      <c r="L86" s="78"/>
    </row>
    <row r="87" spans="12:12" ht="15.75" customHeight="1">
      <c r="L87" s="78"/>
    </row>
    <row r="88" spans="12:12" ht="15.75" customHeight="1">
      <c r="L88" s="78"/>
    </row>
    <row r="89" spans="12:12" ht="15.75" customHeight="1">
      <c r="L89" s="78"/>
    </row>
    <row r="90" spans="12:12" ht="15.75" customHeight="1">
      <c r="L90" s="78"/>
    </row>
    <row r="91" spans="12:12" ht="15.75" customHeight="1">
      <c r="L91" s="78"/>
    </row>
    <row r="92" spans="12:12" ht="15.75" customHeight="1">
      <c r="L92" s="78"/>
    </row>
    <row r="93" spans="12:12" ht="15.75" customHeight="1">
      <c r="L93" s="78"/>
    </row>
    <row r="94" spans="12:12" ht="15.75" customHeight="1">
      <c r="L94" s="78"/>
    </row>
    <row r="95" spans="12:12" ht="15.75" customHeight="1">
      <c r="L95" s="78"/>
    </row>
    <row r="96" spans="12:12" ht="15.75" customHeight="1">
      <c r="L96" s="78"/>
    </row>
    <row r="97" spans="12:12" ht="15.75" customHeight="1">
      <c r="L97" s="78"/>
    </row>
    <row r="98" spans="12:12" ht="15.75" customHeight="1">
      <c r="L98" s="78"/>
    </row>
    <row r="99" spans="12:12" ht="15.75" customHeight="1">
      <c r="L99" s="78"/>
    </row>
    <row r="100" spans="12:12" ht="15.75" customHeight="1">
      <c r="L100" s="78"/>
    </row>
    <row r="101" spans="12:12" ht="15.75" customHeight="1">
      <c r="L101" s="78"/>
    </row>
    <row r="102" spans="12:12" ht="15.75" customHeight="1">
      <c r="L102" s="78"/>
    </row>
    <row r="103" spans="12:12" ht="15.75" customHeight="1">
      <c r="L103" s="78"/>
    </row>
    <row r="104" spans="12:12" ht="15.75" customHeight="1">
      <c r="L104" s="78"/>
    </row>
    <row r="105" spans="12:12" ht="15.75" customHeight="1">
      <c r="L105" s="78"/>
    </row>
    <row r="106" spans="12:12" ht="15.75" customHeight="1">
      <c r="L106" s="78"/>
    </row>
    <row r="107" spans="12:12" ht="15.75" customHeight="1">
      <c r="L107" s="78"/>
    </row>
    <row r="108" spans="12:12" ht="15.75" customHeight="1">
      <c r="L108" s="78"/>
    </row>
    <row r="109" spans="12:12" ht="15.75" customHeight="1">
      <c r="L109" s="78"/>
    </row>
    <row r="110" spans="12:12" ht="15.75" customHeight="1">
      <c r="L110" s="78"/>
    </row>
    <row r="111" spans="12:12" ht="15.75" customHeight="1">
      <c r="L111" s="78"/>
    </row>
    <row r="112" spans="12:12" ht="15.75" customHeight="1">
      <c r="L112" s="78"/>
    </row>
    <row r="113" spans="12:12" ht="15.75" customHeight="1">
      <c r="L113" s="78"/>
    </row>
    <row r="114" spans="12:12" ht="15.75" customHeight="1">
      <c r="L114" s="78"/>
    </row>
    <row r="115" spans="12:12" ht="15.75" customHeight="1">
      <c r="L115" s="78"/>
    </row>
    <row r="116" spans="12:12" ht="15.75" customHeight="1">
      <c r="L116" s="78"/>
    </row>
    <row r="117" spans="12:12" ht="15.75" customHeight="1">
      <c r="L117" s="78"/>
    </row>
    <row r="118" spans="12:12" ht="15.75" customHeight="1">
      <c r="L118" s="78"/>
    </row>
    <row r="119" spans="12:12" ht="15.75" customHeight="1">
      <c r="L119" s="78"/>
    </row>
    <row r="120" spans="12:12" ht="15.75" customHeight="1">
      <c r="L120" s="78"/>
    </row>
    <row r="121" spans="12:12" ht="15.75" customHeight="1">
      <c r="L121" s="78"/>
    </row>
    <row r="122" spans="12:12" ht="15.75" customHeight="1">
      <c r="L122" s="78"/>
    </row>
    <row r="123" spans="12:12" ht="15.75" customHeight="1">
      <c r="L123" s="78"/>
    </row>
    <row r="124" spans="12:12" ht="15.75" customHeight="1">
      <c r="L124" s="78"/>
    </row>
    <row r="125" spans="12:12" ht="15.75" customHeight="1">
      <c r="L125" s="78"/>
    </row>
    <row r="126" spans="12:12" ht="15.75" customHeight="1">
      <c r="L126" s="78"/>
    </row>
    <row r="127" spans="12:12" ht="15.75" customHeight="1">
      <c r="L127" s="78"/>
    </row>
    <row r="128" spans="12:12" ht="15.75" customHeight="1">
      <c r="L128" s="78"/>
    </row>
    <row r="129" spans="12:12" ht="15.75" customHeight="1">
      <c r="L129" s="78"/>
    </row>
    <row r="130" spans="12:12" ht="15.75" customHeight="1">
      <c r="L130" s="78"/>
    </row>
    <row r="131" spans="12:12" ht="15.75" customHeight="1">
      <c r="L131" s="78"/>
    </row>
    <row r="132" spans="12:12" ht="15.75" customHeight="1">
      <c r="L132" s="78"/>
    </row>
    <row r="133" spans="12:12" ht="15.75" customHeight="1">
      <c r="L133" s="78"/>
    </row>
    <row r="134" spans="12:12" ht="15.75" customHeight="1">
      <c r="L134" s="78"/>
    </row>
    <row r="135" spans="12:12" ht="15.75" customHeight="1">
      <c r="L135" s="78"/>
    </row>
    <row r="136" spans="12:12" ht="15.75" customHeight="1">
      <c r="L136" s="78"/>
    </row>
    <row r="137" spans="12:12" ht="15.75" customHeight="1">
      <c r="L137" s="78"/>
    </row>
    <row r="138" spans="12:12" ht="15.75" customHeight="1">
      <c r="L138" s="78"/>
    </row>
    <row r="139" spans="12:12" ht="15.75" customHeight="1">
      <c r="L139" s="78"/>
    </row>
    <row r="140" spans="12:12" ht="15.75" customHeight="1">
      <c r="L140" s="78"/>
    </row>
    <row r="141" spans="12:12" ht="15.75" customHeight="1">
      <c r="L141" s="78"/>
    </row>
    <row r="142" spans="12:12" ht="15.75" customHeight="1">
      <c r="L142" s="78"/>
    </row>
    <row r="143" spans="12:12" ht="15.75" customHeight="1">
      <c r="L143" s="78"/>
    </row>
    <row r="144" spans="12:12" ht="15.75" customHeight="1">
      <c r="L144" s="78"/>
    </row>
    <row r="145" spans="12:12" ht="15.75" customHeight="1">
      <c r="L145" s="78"/>
    </row>
    <row r="146" spans="12:12" ht="15.75" customHeight="1">
      <c r="L146" s="78"/>
    </row>
    <row r="147" spans="12:12" ht="15.75" customHeight="1">
      <c r="L147" s="78"/>
    </row>
    <row r="148" spans="12:12" ht="15.75" customHeight="1">
      <c r="L148" s="78"/>
    </row>
    <row r="149" spans="12:12" ht="15.75" customHeight="1">
      <c r="L149" s="78"/>
    </row>
    <row r="150" spans="12:12" ht="15.75" customHeight="1">
      <c r="L150" s="78"/>
    </row>
    <row r="151" spans="12:12" ht="15.75" customHeight="1">
      <c r="L151" s="78"/>
    </row>
    <row r="152" spans="12:12" ht="15.75" customHeight="1">
      <c r="L152" s="78"/>
    </row>
    <row r="153" spans="12:12" ht="15.75" customHeight="1">
      <c r="L153" s="78"/>
    </row>
    <row r="154" spans="12:12" ht="15.75" customHeight="1">
      <c r="L154" s="78"/>
    </row>
    <row r="155" spans="12:12" ht="15.75" customHeight="1">
      <c r="L155" s="78"/>
    </row>
    <row r="156" spans="12:12" ht="15.75" customHeight="1">
      <c r="L156" s="78"/>
    </row>
    <row r="157" spans="12:12" ht="15.75" customHeight="1">
      <c r="L157" s="78"/>
    </row>
    <row r="158" spans="12:12" ht="15.75" customHeight="1">
      <c r="L158" s="78"/>
    </row>
    <row r="159" spans="12:12" ht="15.75" customHeight="1">
      <c r="L159" s="78"/>
    </row>
    <row r="160" spans="12:12" ht="15.75" customHeight="1">
      <c r="L160" s="78"/>
    </row>
    <row r="161" spans="12:12" ht="15.75" customHeight="1">
      <c r="L161" s="78"/>
    </row>
    <row r="162" spans="12:12" ht="15.75" customHeight="1">
      <c r="L162" s="78"/>
    </row>
    <row r="163" spans="12:12" ht="15.75" customHeight="1">
      <c r="L163" s="78"/>
    </row>
    <row r="164" spans="12:12" ht="15.75" customHeight="1">
      <c r="L164" s="78"/>
    </row>
    <row r="165" spans="12:12" ht="15.75" customHeight="1">
      <c r="L165" s="78"/>
    </row>
    <row r="166" spans="12:12" ht="15.75" customHeight="1">
      <c r="L166" s="78"/>
    </row>
    <row r="167" spans="12:12" ht="15.75" customHeight="1">
      <c r="L167" s="78"/>
    </row>
    <row r="168" spans="12:12" ht="15.75" customHeight="1">
      <c r="L168" s="78"/>
    </row>
    <row r="169" spans="12:12" ht="15.75" customHeight="1">
      <c r="L169" s="78"/>
    </row>
    <row r="170" spans="12:12" ht="15.75" customHeight="1">
      <c r="L170" s="78"/>
    </row>
    <row r="171" spans="12:12" ht="15.75" customHeight="1">
      <c r="L171" s="78"/>
    </row>
    <row r="172" spans="12:12" ht="15.75" customHeight="1">
      <c r="L172" s="78"/>
    </row>
    <row r="173" spans="12:12" ht="15.75" customHeight="1">
      <c r="L173" s="78"/>
    </row>
    <row r="174" spans="12:12" ht="15.75" customHeight="1">
      <c r="L174" s="78"/>
    </row>
    <row r="175" spans="12:12" ht="15.75" customHeight="1">
      <c r="L175" s="78"/>
    </row>
    <row r="176" spans="12:12" ht="15.75" customHeight="1">
      <c r="L176" s="78"/>
    </row>
    <row r="177" spans="12:12" ht="15.75" customHeight="1">
      <c r="L177" s="78"/>
    </row>
    <row r="178" spans="12:12" ht="15.75" customHeight="1">
      <c r="L178" s="78"/>
    </row>
    <row r="179" spans="12:12" ht="15.75" customHeight="1">
      <c r="L179" s="78"/>
    </row>
    <row r="180" spans="12:12" ht="15.75" customHeight="1">
      <c r="L180" s="78"/>
    </row>
    <row r="181" spans="12:12" ht="15.75" customHeight="1">
      <c r="L181" s="78"/>
    </row>
    <row r="182" spans="12:12" ht="15.75" customHeight="1">
      <c r="L182" s="78"/>
    </row>
    <row r="183" spans="12:12" ht="15.75" customHeight="1">
      <c r="L183" s="78"/>
    </row>
    <row r="184" spans="12:12" ht="15.75" customHeight="1">
      <c r="L184" s="78"/>
    </row>
    <row r="185" spans="12:12" ht="15.75" customHeight="1">
      <c r="L185" s="78"/>
    </row>
    <row r="186" spans="12:12" ht="15.75" customHeight="1">
      <c r="L186" s="78"/>
    </row>
    <row r="187" spans="12:12" ht="15.75" customHeight="1">
      <c r="L187" s="78"/>
    </row>
    <row r="188" spans="12:12" ht="15.75" customHeight="1">
      <c r="L188" s="78"/>
    </row>
    <row r="189" spans="12:12" ht="15.75" customHeight="1">
      <c r="L189" s="78"/>
    </row>
    <row r="190" spans="12:12" ht="15.75" customHeight="1">
      <c r="L190" s="78"/>
    </row>
    <row r="191" spans="12:12" ht="15.75" customHeight="1">
      <c r="L191" s="78"/>
    </row>
    <row r="192" spans="12:12" ht="15.75" customHeight="1">
      <c r="L192" s="78"/>
    </row>
    <row r="193" spans="12:12" ht="15.75" customHeight="1">
      <c r="L193" s="78"/>
    </row>
    <row r="194" spans="12:12" ht="15.75" customHeight="1">
      <c r="L194" s="78"/>
    </row>
    <row r="195" spans="12:12" ht="15.75" customHeight="1">
      <c r="L195" s="78"/>
    </row>
    <row r="196" spans="12:12" ht="15.75" customHeight="1">
      <c r="L196" s="78"/>
    </row>
    <row r="197" spans="12:12" ht="15.75" customHeight="1">
      <c r="L197" s="78"/>
    </row>
    <row r="198" spans="12:12" ht="15.75" customHeight="1">
      <c r="L198" s="78"/>
    </row>
    <row r="199" spans="12:12" ht="15.75" customHeight="1">
      <c r="L199" s="78"/>
    </row>
    <row r="200" spans="12:12" ht="15.75" customHeight="1">
      <c r="L200" s="78"/>
    </row>
    <row r="201" spans="12:12" ht="15.75" customHeight="1">
      <c r="L201" s="78"/>
    </row>
    <row r="202" spans="12:12" ht="15.75" customHeight="1">
      <c r="L202" s="78"/>
    </row>
    <row r="203" spans="12:12" ht="15.75" customHeight="1">
      <c r="L203" s="78"/>
    </row>
    <row r="204" spans="12:12" ht="15.75" customHeight="1">
      <c r="L204" s="78"/>
    </row>
    <row r="205" spans="12:12" ht="15.75" customHeight="1">
      <c r="L205" s="78"/>
    </row>
    <row r="206" spans="12:12" ht="15.75" customHeight="1">
      <c r="L206" s="78"/>
    </row>
    <row r="207" spans="12:12" ht="15.75" customHeight="1">
      <c r="L207" s="78"/>
    </row>
    <row r="208" spans="12:12" ht="15.75" customHeight="1">
      <c r="L208" s="78"/>
    </row>
    <row r="209" spans="12:12" ht="15.75" customHeight="1">
      <c r="L209" s="78"/>
    </row>
    <row r="210" spans="12:12" ht="15.75" customHeight="1">
      <c r="L210" s="78"/>
    </row>
    <row r="211" spans="12:12" ht="15.75" customHeight="1">
      <c r="L211" s="78"/>
    </row>
    <row r="212" spans="12:12" ht="15.75" customHeight="1">
      <c r="L212" s="78"/>
    </row>
    <row r="213" spans="12:12" ht="15.75" customHeight="1">
      <c r="L213" s="78"/>
    </row>
    <row r="214" spans="12:12" ht="15.75" customHeight="1">
      <c r="L214" s="78"/>
    </row>
    <row r="215" spans="12:12" ht="15.75" customHeight="1">
      <c r="L215" s="78"/>
    </row>
    <row r="216" spans="12:12" ht="15.75" customHeight="1">
      <c r="L216" s="78"/>
    </row>
    <row r="217" spans="12:12" ht="15.75" customHeight="1">
      <c r="L217" s="78"/>
    </row>
    <row r="218" spans="12:12" ht="15.75" customHeight="1">
      <c r="L218" s="78"/>
    </row>
    <row r="219" spans="12:12" ht="15.75" customHeight="1">
      <c r="L219" s="78"/>
    </row>
    <row r="220" spans="12:12" ht="15.75" customHeight="1">
      <c r="L220" s="78"/>
    </row>
    <row r="221" spans="12:12" ht="15.75" customHeight="1">
      <c r="L221" s="78"/>
    </row>
    <row r="222" spans="12:12" ht="15.75" customHeight="1">
      <c r="L222" s="78"/>
    </row>
    <row r="223" spans="12:12" ht="15.75" customHeight="1">
      <c r="L223" s="78"/>
    </row>
    <row r="224" spans="12:12" ht="15.75" customHeight="1">
      <c r="L224" s="78"/>
    </row>
    <row r="225" spans="12:12" ht="15.75" customHeight="1">
      <c r="L225" s="78"/>
    </row>
    <row r="226" spans="12:12" ht="15.75" customHeight="1">
      <c r="L226" s="78"/>
    </row>
    <row r="227" spans="12:12" ht="15.75" customHeight="1">
      <c r="L227" s="78"/>
    </row>
    <row r="228" spans="12:12" ht="15.75" customHeight="1">
      <c r="L228" s="78"/>
    </row>
    <row r="229" spans="12:12" ht="15.75" customHeight="1">
      <c r="L229" s="78"/>
    </row>
    <row r="230" spans="12:12" ht="15.75" customHeight="1">
      <c r="L230" s="78"/>
    </row>
    <row r="231" spans="12:12" ht="15.75" customHeight="1">
      <c r="L231" s="78"/>
    </row>
    <row r="232" spans="12:12" ht="15.75" customHeight="1">
      <c r="L232" s="78"/>
    </row>
    <row r="233" spans="12:12" ht="15.75" customHeight="1">
      <c r="L233" s="78"/>
    </row>
    <row r="234" spans="12:12" ht="15.75" customHeight="1">
      <c r="L234" s="78"/>
    </row>
    <row r="235" spans="12:12" ht="15.75" customHeight="1">
      <c r="L235" s="78"/>
    </row>
    <row r="236" spans="12:12" ht="15.75" customHeight="1">
      <c r="L236" s="78"/>
    </row>
    <row r="237" spans="12:12" ht="15.75" customHeight="1">
      <c r="L237" s="78"/>
    </row>
    <row r="238" spans="12:12" ht="15.75" customHeight="1">
      <c r="L238" s="78"/>
    </row>
    <row r="239" spans="12:12" ht="15.75" customHeight="1">
      <c r="L239" s="78"/>
    </row>
    <row r="240" spans="12:12" ht="15.75" customHeight="1">
      <c r="L240" s="78"/>
    </row>
    <row r="241" spans="12:12" ht="15.75" customHeight="1">
      <c r="L241" s="78"/>
    </row>
    <row r="242" spans="12:12" ht="15.75" customHeight="1">
      <c r="L242" s="78"/>
    </row>
    <row r="243" spans="12:12" ht="15.75" customHeight="1">
      <c r="L243" s="78"/>
    </row>
    <row r="244" spans="12:12" ht="15.75" customHeight="1">
      <c r="L244" s="78"/>
    </row>
    <row r="245" spans="12:12" ht="15.75" customHeight="1">
      <c r="L245" s="78"/>
    </row>
    <row r="246" spans="12:12" ht="15.75" customHeight="1">
      <c r="L246" s="78"/>
    </row>
    <row r="247" spans="12:12" ht="15.75" customHeight="1">
      <c r="L247" s="78"/>
    </row>
    <row r="248" spans="12:12" ht="15.75" customHeight="1">
      <c r="L248" s="78"/>
    </row>
    <row r="249" spans="12:12" ht="15.75" customHeight="1">
      <c r="L249" s="78"/>
    </row>
    <row r="250" spans="12:12" ht="15.75" customHeight="1">
      <c r="L250" s="78"/>
    </row>
    <row r="251" spans="12:12" ht="15.75" customHeight="1">
      <c r="L251" s="78"/>
    </row>
    <row r="252" spans="12:12" ht="15.75" customHeight="1">
      <c r="L252" s="78"/>
    </row>
    <row r="253" spans="12:12" ht="15.75" customHeight="1">
      <c r="L253" s="78"/>
    </row>
    <row r="254" spans="12:12" ht="15.75" customHeight="1">
      <c r="L254" s="78"/>
    </row>
    <row r="255" spans="12:12" ht="15.75" customHeight="1">
      <c r="L255" s="78"/>
    </row>
    <row r="256" spans="12:12" ht="15.75" customHeight="1">
      <c r="L256" s="78"/>
    </row>
    <row r="257" spans="12:12" ht="15.75" customHeight="1">
      <c r="L257" s="78"/>
    </row>
    <row r="258" spans="12:12" ht="15.75" customHeight="1">
      <c r="L258" s="78"/>
    </row>
    <row r="259" spans="12:12" ht="15.75" customHeight="1">
      <c r="L259" s="78"/>
    </row>
    <row r="260" spans="12:12" ht="15.75" customHeight="1">
      <c r="L260" s="78"/>
    </row>
    <row r="261" spans="12:12" ht="15.75" customHeight="1">
      <c r="L261" s="78"/>
    </row>
    <row r="262" spans="12:12" ht="15.75" customHeight="1">
      <c r="L262" s="78"/>
    </row>
    <row r="263" spans="12:12" ht="15.75" customHeight="1">
      <c r="L263" s="78"/>
    </row>
    <row r="264" spans="12:12" ht="15.75" customHeight="1">
      <c r="L264" s="78"/>
    </row>
    <row r="265" spans="12:12" ht="15.75" customHeight="1">
      <c r="L265" s="78"/>
    </row>
    <row r="266" spans="12:12" ht="15.75" customHeight="1">
      <c r="L266" s="78"/>
    </row>
    <row r="267" spans="12:12" ht="15.75" customHeight="1">
      <c r="L267" s="78"/>
    </row>
    <row r="268" spans="12:12" ht="15.75" customHeight="1">
      <c r="L268" s="78"/>
    </row>
    <row r="269" spans="12:12" ht="15.75" customHeight="1">
      <c r="L269" s="78"/>
    </row>
    <row r="270" spans="12:12" ht="15.75" customHeight="1">
      <c r="L270" s="78"/>
    </row>
    <row r="271" spans="12:12" ht="15.75" customHeight="1">
      <c r="L271" s="78"/>
    </row>
    <row r="272" spans="12:12" ht="15.75" customHeight="1">
      <c r="L272" s="78"/>
    </row>
    <row r="273" spans="12:12" ht="15.75" customHeight="1">
      <c r="L273" s="78"/>
    </row>
    <row r="274" spans="12:12" ht="15.75" customHeight="1">
      <c r="L274" s="78"/>
    </row>
    <row r="275" spans="12:12" ht="15.75" customHeight="1">
      <c r="L275" s="78"/>
    </row>
    <row r="276" spans="12:12" ht="15.75" customHeight="1">
      <c r="L276" s="78"/>
    </row>
    <row r="277" spans="12:12" ht="15.75" customHeight="1">
      <c r="L277" s="78"/>
    </row>
    <row r="278" spans="12:12" ht="15.75" customHeight="1">
      <c r="L278" s="78"/>
    </row>
    <row r="279" spans="12:12" ht="15.75" customHeight="1">
      <c r="L279" s="78"/>
    </row>
    <row r="280" spans="12:12" ht="15.75" customHeight="1">
      <c r="L280" s="78"/>
    </row>
    <row r="281" spans="12:12" ht="15.75" customHeight="1">
      <c r="L281" s="78"/>
    </row>
    <row r="282" spans="12:12" ht="15.75" customHeight="1">
      <c r="L282" s="78"/>
    </row>
    <row r="283" spans="12:12" ht="15.75" customHeight="1">
      <c r="L283" s="78"/>
    </row>
    <row r="284" spans="12:12" ht="15.75" customHeight="1">
      <c r="L284" s="78"/>
    </row>
    <row r="285" spans="12:12" ht="15.75" customHeight="1">
      <c r="L285" s="78"/>
    </row>
    <row r="286" spans="12:12" ht="15.75" customHeight="1">
      <c r="L286" s="78"/>
    </row>
    <row r="287" spans="12:12" ht="15.75" customHeight="1">
      <c r="L287" s="78"/>
    </row>
    <row r="288" spans="12:12" ht="15.75" customHeight="1">
      <c r="L288" s="78"/>
    </row>
    <row r="289" spans="12:12" ht="15.75" customHeight="1">
      <c r="L289" s="78"/>
    </row>
    <row r="290" spans="12:12" ht="15.75" customHeight="1">
      <c r="L290" s="78"/>
    </row>
    <row r="291" spans="12:12" ht="15.75" customHeight="1">
      <c r="L291" s="78"/>
    </row>
    <row r="292" spans="12:12" ht="15.75" customHeight="1">
      <c r="L292" s="78"/>
    </row>
    <row r="293" spans="12:12" ht="15.75" customHeight="1">
      <c r="L293" s="78"/>
    </row>
    <row r="294" spans="12:12" ht="15.75" customHeight="1">
      <c r="L294" s="78"/>
    </row>
    <row r="295" spans="12:12" ht="15.75" customHeight="1">
      <c r="L295" s="78"/>
    </row>
    <row r="296" spans="12:12" ht="15.75" customHeight="1">
      <c r="L296" s="78"/>
    </row>
    <row r="297" spans="12:12" ht="15.75" customHeight="1">
      <c r="L297" s="78"/>
    </row>
    <row r="298" spans="12:12" ht="15.75" customHeight="1">
      <c r="L298" s="78"/>
    </row>
    <row r="299" spans="12:12" ht="15.75" customHeight="1">
      <c r="L299" s="78"/>
    </row>
    <row r="300" spans="12:12" ht="15.75" customHeight="1">
      <c r="L300" s="78"/>
    </row>
    <row r="301" spans="12:12" ht="15.75" customHeight="1">
      <c r="L301" s="78"/>
    </row>
    <row r="302" spans="12:12" ht="15.75" customHeight="1">
      <c r="L302" s="78"/>
    </row>
    <row r="303" spans="12:12" ht="15.75" customHeight="1">
      <c r="L303" s="78"/>
    </row>
    <row r="304" spans="12:12" ht="15.75" customHeight="1">
      <c r="L304" s="78"/>
    </row>
    <row r="305" spans="12:12" ht="15.75" customHeight="1">
      <c r="L305" s="78"/>
    </row>
    <row r="306" spans="12:12" ht="15.75" customHeight="1">
      <c r="L306" s="78"/>
    </row>
    <row r="307" spans="12:12" ht="15.75" customHeight="1">
      <c r="L307" s="78"/>
    </row>
    <row r="308" spans="12:12" ht="15.75" customHeight="1">
      <c r="L308" s="78"/>
    </row>
    <row r="309" spans="12:12" ht="15.75" customHeight="1">
      <c r="L309" s="78"/>
    </row>
    <row r="310" spans="12:12" ht="15.75" customHeight="1">
      <c r="L310" s="78"/>
    </row>
    <row r="311" spans="12:12" ht="15.75" customHeight="1">
      <c r="L311" s="78"/>
    </row>
    <row r="312" spans="12:12" ht="15.75" customHeight="1">
      <c r="L312" s="78"/>
    </row>
    <row r="313" spans="12:12" ht="15.75" customHeight="1">
      <c r="L313" s="78"/>
    </row>
    <row r="314" spans="12:12" ht="15.75" customHeight="1">
      <c r="L314" s="78"/>
    </row>
    <row r="315" spans="12:12" ht="15.75" customHeight="1">
      <c r="L315" s="78"/>
    </row>
    <row r="316" spans="12:12" ht="15.75" customHeight="1">
      <c r="L316" s="78"/>
    </row>
    <row r="317" spans="12:12" ht="15.75" customHeight="1">
      <c r="L317" s="78"/>
    </row>
    <row r="318" spans="12:12" ht="15.75" customHeight="1">
      <c r="L318" s="78"/>
    </row>
    <row r="319" spans="12:12" ht="15.75" customHeight="1">
      <c r="L319" s="78"/>
    </row>
    <row r="320" spans="12:12" ht="15.75" customHeight="1">
      <c r="L320" s="78"/>
    </row>
    <row r="321" spans="12:12" ht="15.75" customHeight="1">
      <c r="L321" s="78"/>
    </row>
    <row r="322" spans="12:12" ht="15.75" customHeight="1">
      <c r="L322" s="78"/>
    </row>
    <row r="323" spans="12:12" ht="15.75" customHeight="1">
      <c r="L323" s="78"/>
    </row>
    <row r="324" spans="12:12" ht="15.75" customHeight="1">
      <c r="L324" s="78"/>
    </row>
    <row r="325" spans="12:12" ht="15.75" customHeight="1">
      <c r="L325" s="78"/>
    </row>
    <row r="326" spans="12:12" ht="15.75" customHeight="1">
      <c r="L326" s="78"/>
    </row>
    <row r="327" spans="12:12" ht="15.75" customHeight="1">
      <c r="L327" s="78"/>
    </row>
    <row r="328" spans="12:12" ht="15.75" customHeight="1">
      <c r="L328" s="78"/>
    </row>
    <row r="329" spans="12:12" ht="15.75" customHeight="1">
      <c r="L329" s="78"/>
    </row>
    <row r="330" spans="12:12" ht="15.75" customHeight="1">
      <c r="L330" s="78"/>
    </row>
    <row r="331" spans="12:12" ht="15.75" customHeight="1">
      <c r="L331" s="78"/>
    </row>
    <row r="332" spans="12:12" ht="15.75" customHeight="1">
      <c r="L332" s="78"/>
    </row>
    <row r="333" spans="12:12" ht="15.75" customHeight="1">
      <c r="L333" s="78"/>
    </row>
    <row r="334" spans="12:12" ht="15.75" customHeight="1">
      <c r="L334" s="78"/>
    </row>
    <row r="335" spans="12:12" ht="15.75" customHeight="1">
      <c r="L335" s="78"/>
    </row>
    <row r="336" spans="12:12" ht="15.75" customHeight="1">
      <c r="L336" s="78"/>
    </row>
    <row r="337" spans="12:12" ht="15.75" customHeight="1">
      <c r="L337" s="78"/>
    </row>
    <row r="338" spans="12:12" ht="15.75" customHeight="1">
      <c r="L338" s="78"/>
    </row>
    <row r="339" spans="12:12" ht="15.75" customHeight="1">
      <c r="L339" s="78"/>
    </row>
    <row r="340" spans="12:12" ht="15.75" customHeight="1">
      <c r="L340" s="78"/>
    </row>
    <row r="341" spans="12:12" ht="15.75" customHeight="1">
      <c r="L341" s="78"/>
    </row>
    <row r="342" spans="12:12" ht="15.75" customHeight="1">
      <c r="L342" s="78"/>
    </row>
    <row r="343" spans="12:12" ht="15.75" customHeight="1">
      <c r="L343" s="78"/>
    </row>
    <row r="344" spans="12:12" ht="15.75" customHeight="1">
      <c r="L344" s="78"/>
    </row>
    <row r="345" spans="12:12" ht="15.75" customHeight="1">
      <c r="L345" s="78"/>
    </row>
    <row r="346" spans="12:12" ht="15.75" customHeight="1">
      <c r="L346" s="78"/>
    </row>
    <row r="347" spans="12:12" ht="15.75" customHeight="1">
      <c r="L347" s="78"/>
    </row>
    <row r="348" spans="12:12" ht="15.75" customHeight="1">
      <c r="L348" s="78"/>
    </row>
    <row r="349" spans="12:12" ht="15.75" customHeight="1">
      <c r="L349" s="78"/>
    </row>
    <row r="350" spans="12:12" ht="15.75" customHeight="1">
      <c r="L350" s="78"/>
    </row>
    <row r="351" spans="12:12" ht="15.75" customHeight="1">
      <c r="L351" s="78"/>
    </row>
    <row r="352" spans="12:12" ht="15.75" customHeight="1">
      <c r="L352" s="78"/>
    </row>
    <row r="353" spans="12:12" ht="15.75" customHeight="1">
      <c r="L353" s="78"/>
    </row>
    <row r="354" spans="12:12" ht="15.75" customHeight="1">
      <c r="L354" s="78"/>
    </row>
    <row r="355" spans="12:12" ht="15.75" customHeight="1">
      <c r="L355" s="78"/>
    </row>
    <row r="356" spans="12:12" ht="15.75" customHeight="1">
      <c r="L356" s="78"/>
    </row>
    <row r="357" spans="12:12" ht="15.75" customHeight="1">
      <c r="L357" s="78"/>
    </row>
    <row r="358" spans="12:12" ht="15.75" customHeight="1">
      <c r="L358" s="78"/>
    </row>
    <row r="359" spans="12:12" ht="15.75" customHeight="1">
      <c r="L359" s="78"/>
    </row>
    <row r="360" spans="12:12" ht="15.75" customHeight="1">
      <c r="L360" s="78"/>
    </row>
    <row r="361" spans="12:12" ht="15.75" customHeight="1">
      <c r="L361" s="78"/>
    </row>
    <row r="362" spans="12:12" ht="15.75" customHeight="1">
      <c r="L362" s="78"/>
    </row>
    <row r="363" spans="12:12" ht="15.75" customHeight="1">
      <c r="L363" s="78"/>
    </row>
    <row r="364" spans="12:12" ht="15.75" customHeight="1">
      <c r="L364" s="78"/>
    </row>
    <row r="365" spans="12:12" ht="15.75" customHeight="1">
      <c r="L365" s="78"/>
    </row>
    <row r="366" spans="12:12" ht="15.75" customHeight="1">
      <c r="L366" s="78"/>
    </row>
    <row r="367" spans="12:12" ht="15.75" customHeight="1">
      <c r="L367" s="78"/>
    </row>
    <row r="368" spans="12:12" ht="15.75" customHeight="1">
      <c r="L368" s="78"/>
    </row>
    <row r="369" spans="12:12" ht="15.75" customHeight="1">
      <c r="L369" s="78"/>
    </row>
    <row r="370" spans="12:12" ht="15.75" customHeight="1">
      <c r="L370" s="78"/>
    </row>
    <row r="371" spans="12:12" ht="15.75" customHeight="1">
      <c r="L371" s="78"/>
    </row>
    <row r="372" spans="12:12" ht="15.75" customHeight="1">
      <c r="L372" s="78"/>
    </row>
    <row r="373" spans="12:12" ht="15.75" customHeight="1">
      <c r="L373" s="78"/>
    </row>
    <row r="374" spans="12:12" ht="15.75" customHeight="1">
      <c r="L374" s="78"/>
    </row>
    <row r="375" spans="12:12" ht="15.75" customHeight="1">
      <c r="L375" s="78"/>
    </row>
    <row r="376" spans="12:12" ht="15.75" customHeight="1">
      <c r="L376" s="78"/>
    </row>
    <row r="377" spans="12:12" ht="15.75" customHeight="1">
      <c r="L377" s="78"/>
    </row>
    <row r="378" spans="12:12" ht="15.75" customHeight="1">
      <c r="L378" s="78"/>
    </row>
    <row r="379" spans="12:12" ht="15.75" customHeight="1">
      <c r="L379" s="78"/>
    </row>
    <row r="380" spans="12:12" ht="15.75" customHeight="1">
      <c r="L380" s="78"/>
    </row>
    <row r="381" spans="12:12" ht="15.75" customHeight="1">
      <c r="L381" s="78"/>
    </row>
    <row r="382" spans="12:12" ht="15.75" customHeight="1">
      <c r="L382" s="78"/>
    </row>
    <row r="383" spans="12:12" ht="15.75" customHeight="1">
      <c r="L383" s="78"/>
    </row>
    <row r="384" spans="12:12" ht="15.75" customHeight="1">
      <c r="L384" s="78"/>
    </row>
    <row r="385" spans="12:12" ht="15.75" customHeight="1">
      <c r="L385" s="78"/>
    </row>
    <row r="386" spans="12:12" ht="15.75" customHeight="1">
      <c r="L386" s="78"/>
    </row>
    <row r="387" spans="12:12" ht="15.75" customHeight="1">
      <c r="L387" s="78"/>
    </row>
    <row r="388" spans="12:12" ht="15.75" customHeight="1">
      <c r="L388" s="78"/>
    </row>
    <row r="389" spans="12:12" ht="15.75" customHeight="1">
      <c r="L389" s="78"/>
    </row>
    <row r="390" spans="12:12" ht="15.75" customHeight="1">
      <c r="L390" s="78"/>
    </row>
    <row r="391" spans="12:12" ht="15.75" customHeight="1">
      <c r="L391" s="78"/>
    </row>
    <row r="392" spans="12:12" ht="15.75" customHeight="1">
      <c r="L392" s="78"/>
    </row>
    <row r="393" spans="12:12" ht="15.75" customHeight="1">
      <c r="L393" s="78"/>
    </row>
    <row r="394" spans="12:12" ht="15.75" customHeight="1">
      <c r="L394" s="78"/>
    </row>
    <row r="395" spans="12:12" ht="15.75" customHeight="1">
      <c r="L395" s="78"/>
    </row>
    <row r="396" spans="12:12" ht="15.75" customHeight="1">
      <c r="L396" s="78"/>
    </row>
    <row r="397" spans="12:12" ht="15.75" customHeight="1">
      <c r="L397" s="78"/>
    </row>
    <row r="398" spans="12:12" ht="15.75" customHeight="1">
      <c r="L398" s="78"/>
    </row>
    <row r="399" spans="12:12" ht="15.75" customHeight="1">
      <c r="L399" s="78"/>
    </row>
    <row r="400" spans="12:12" ht="15.75" customHeight="1">
      <c r="L400" s="78"/>
    </row>
    <row r="401" spans="12:12" ht="15.75" customHeight="1">
      <c r="L401" s="78"/>
    </row>
    <row r="402" spans="12:12" ht="15.75" customHeight="1">
      <c r="L402" s="78"/>
    </row>
    <row r="403" spans="12:12" ht="15.75" customHeight="1">
      <c r="L403" s="78"/>
    </row>
    <row r="404" spans="12:12" ht="15.75" customHeight="1">
      <c r="L404" s="78"/>
    </row>
    <row r="405" spans="12:12" ht="15.75" customHeight="1">
      <c r="L405" s="78"/>
    </row>
    <row r="406" spans="12:12" ht="15.75" customHeight="1">
      <c r="L406" s="78"/>
    </row>
    <row r="407" spans="12:12" ht="15.75" customHeight="1">
      <c r="L407" s="78"/>
    </row>
    <row r="408" spans="12:12" ht="15.75" customHeight="1">
      <c r="L408" s="78"/>
    </row>
    <row r="409" spans="12:12" ht="15.75" customHeight="1">
      <c r="L409" s="78"/>
    </row>
    <row r="410" spans="12:12" ht="15.75" customHeight="1">
      <c r="L410" s="78"/>
    </row>
    <row r="411" spans="12:12" ht="15.75" customHeight="1">
      <c r="L411" s="78"/>
    </row>
    <row r="412" spans="12:12" ht="15.75" customHeight="1">
      <c r="L412" s="78"/>
    </row>
    <row r="413" spans="12:12" ht="15.75" customHeight="1">
      <c r="L413" s="78"/>
    </row>
    <row r="414" spans="12:12" ht="15.75" customHeight="1">
      <c r="L414" s="78"/>
    </row>
    <row r="415" spans="12:12" ht="15.75" customHeight="1">
      <c r="L415" s="78"/>
    </row>
    <row r="416" spans="12:12" ht="15.75" customHeight="1">
      <c r="L416" s="78"/>
    </row>
    <row r="417" spans="12:12" ht="15.75" customHeight="1">
      <c r="L417" s="78"/>
    </row>
    <row r="418" spans="12:12" ht="15.75" customHeight="1">
      <c r="L418" s="78"/>
    </row>
    <row r="419" spans="12:12" ht="15.75" customHeight="1">
      <c r="L419" s="78"/>
    </row>
    <row r="420" spans="12:12" ht="15.75" customHeight="1">
      <c r="L420" s="78"/>
    </row>
    <row r="421" spans="12:12" ht="15.75" customHeight="1">
      <c r="L421" s="78"/>
    </row>
    <row r="422" spans="12:12" ht="15.75" customHeight="1">
      <c r="L422" s="78"/>
    </row>
    <row r="423" spans="12:12" ht="15.75" customHeight="1">
      <c r="L423" s="78"/>
    </row>
    <row r="424" spans="12:12" ht="15.75" customHeight="1">
      <c r="L424" s="78"/>
    </row>
    <row r="425" spans="12:12" ht="15.75" customHeight="1">
      <c r="L425" s="78"/>
    </row>
    <row r="426" spans="12:12" ht="15.75" customHeight="1">
      <c r="L426" s="78"/>
    </row>
    <row r="427" spans="12:12" ht="15.75" customHeight="1">
      <c r="L427" s="78"/>
    </row>
    <row r="428" spans="12:12" ht="15.75" customHeight="1">
      <c r="L428" s="78"/>
    </row>
    <row r="429" spans="12:12" ht="15.75" customHeight="1">
      <c r="L429" s="78"/>
    </row>
    <row r="430" spans="12:12" ht="15.75" customHeight="1">
      <c r="L430" s="78"/>
    </row>
    <row r="431" spans="12:12" ht="15.75" customHeight="1">
      <c r="L431" s="78"/>
    </row>
    <row r="432" spans="12:12" ht="15.75" customHeight="1">
      <c r="L432" s="78"/>
    </row>
    <row r="433" spans="12:12" ht="15.75" customHeight="1">
      <c r="L433" s="78"/>
    </row>
    <row r="434" spans="12:12" ht="15.75" customHeight="1">
      <c r="L434" s="78"/>
    </row>
    <row r="435" spans="12:12" ht="15.75" customHeight="1">
      <c r="L435" s="78"/>
    </row>
    <row r="436" spans="12:12" ht="15.75" customHeight="1">
      <c r="L436" s="78"/>
    </row>
    <row r="437" spans="12:12" ht="15.75" customHeight="1">
      <c r="L437" s="78"/>
    </row>
    <row r="438" spans="12:12" ht="15.75" customHeight="1">
      <c r="L438" s="78"/>
    </row>
    <row r="439" spans="12:12" ht="15.75" customHeight="1">
      <c r="L439" s="78"/>
    </row>
    <row r="440" spans="12:12" ht="15.75" customHeight="1">
      <c r="L440" s="78"/>
    </row>
    <row r="441" spans="12:12" ht="15.75" customHeight="1">
      <c r="L441" s="78"/>
    </row>
    <row r="442" spans="12:12" ht="15.75" customHeight="1">
      <c r="L442" s="78"/>
    </row>
    <row r="443" spans="12:12" ht="15.75" customHeight="1">
      <c r="L443" s="78"/>
    </row>
    <row r="444" spans="12:12" ht="15.75" customHeight="1">
      <c r="L444" s="78"/>
    </row>
    <row r="445" spans="12:12" ht="15.75" customHeight="1">
      <c r="L445" s="78"/>
    </row>
    <row r="446" spans="12:12" ht="15.75" customHeight="1">
      <c r="L446" s="78"/>
    </row>
    <row r="447" spans="12:12" ht="15.75" customHeight="1">
      <c r="L447" s="78"/>
    </row>
    <row r="448" spans="12:12" ht="15.75" customHeight="1">
      <c r="L448" s="78"/>
    </row>
    <row r="449" spans="12:12" ht="15.75" customHeight="1">
      <c r="L449" s="78"/>
    </row>
    <row r="450" spans="12:12" ht="15.75" customHeight="1">
      <c r="L450" s="78"/>
    </row>
    <row r="451" spans="12:12" ht="15.75" customHeight="1">
      <c r="L451" s="78"/>
    </row>
    <row r="452" spans="12:12" ht="15.75" customHeight="1">
      <c r="L452" s="78"/>
    </row>
    <row r="453" spans="12:12" ht="15.75" customHeight="1">
      <c r="L453" s="78"/>
    </row>
    <row r="454" spans="12:12" ht="15.75" customHeight="1">
      <c r="L454" s="78"/>
    </row>
    <row r="455" spans="12:12" ht="15.75" customHeight="1">
      <c r="L455" s="78"/>
    </row>
    <row r="456" spans="12:12" ht="15.75" customHeight="1">
      <c r="L456" s="78"/>
    </row>
    <row r="457" spans="12:12" ht="15.75" customHeight="1">
      <c r="L457" s="78"/>
    </row>
    <row r="458" spans="12:12" ht="15.75" customHeight="1">
      <c r="L458" s="78"/>
    </row>
    <row r="459" spans="12:12" ht="15.75" customHeight="1">
      <c r="L459" s="78"/>
    </row>
    <row r="460" spans="12:12" ht="15.75" customHeight="1">
      <c r="L460" s="78"/>
    </row>
    <row r="461" spans="12:12" ht="15.75" customHeight="1">
      <c r="L461" s="78"/>
    </row>
    <row r="462" spans="12:12" ht="15.75" customHeight="1">
      <c r="L462" s="78"/>
    </row>
    <row r="463" spans="12:12" ht="15.75" customHeight="1">
      <c r="L463" s="78"/>
    </row>
    <row r="464" spans="12:12" ht="15.75" customHeight="1">
      <c r="L464" s="78"/>
    </row>
    <row r="465" spans="12:12" ht="15.75" customHeight="1">
      <c r="L465" s="78"/>
    </row>
    <row r="466" spans="12:12" ht="15.75" customHeight="1">
      <c r="L466" s="78"/>
    </row>
    <row r="467" spans="12:12" ht="15.75" customHeight="1">
      <c r="L467" s="78"/>
    </row>
    <row r="468" spans="12:12" ht="15.75" customHeight="1">
      <c r="L468" s="78"/>
    </row>
    <row r="469" spans="12:12" ht="15.75" customHeight="1">
      <c r="L469" s="78"/>
    </row>
    <row r="470" spans="12:12" ht="15.75" customHeight="1">
      <c r="L470" s="78"/>
    </row>
    <row r="471" spans="12:12" ht="15.75" customHeight="1">
      <c r="L471" s="78"/>
    </row>
    <row r="472" spans="12:12" ht="15.75" customHeight="1">
      <c r="L472" s="78"/>
    </row>
    <row r="473" spans="12:12" ht="15.75" customHeight="1">
      <c r="L473" s="78"/>
    </row>
    <row r="474" spans="12:12" ht="15.75" customHeight="1">
      <c r="L474" s="78"/>
    </row>
    <row r="475" spans="12:12" ht="15.75" customHeight="1">
      <c r="L475" s="78"/>
    </row>
    <row r="476" spans="12:12" ht="15.75" customHeight="1">
      <c r="L476" s="78"/>
    </row>
    <row r="477" spans="12:12" ht="15.75" customHeight="1">
      <c r="L477" s="78"/>
    </row>
    <row r="478" spans="12:12" ht="15.75" customHeight="1">
      <c r="L478" s="78"/>
    </row>
    <row r="479" spans="12:12" ht="15.75" customHeight="1">
      <c r="L479" s="78"/>
    </row>
    <row r="480" spans="12:12" ht="15.75" customHeight="1">
      <c r="L480" s="78"/>
    </row>
    <row r="481" spans="12:12" ht="15.75" customHeight="1">
      <c r="L481" s="78"/>
    </row>
    <row r="482" spans="12:12" ht="15.75" customHeight="1">
      <c r="L482" s="78"/>
    </row>
    <row r="483" spans="12:12" ht="15.75" customHeight="1">
      <c r="L483" s="78"/>
    </row>
    <row r="484" spans="12:12" ht="15.75" customHeight="1">
      <c r="L484" s="78"/>
    </row>
    <row r="485" spans="12:12" ht="15.75" customHeight="1">
      <c r="L485" s="78"/>
    </row>
    <row r="486" spans="12:12" ht="15.75" customHeight="1">
      <c r="L486" s="78"/>
    </row>
    <row r="487" spans="12:12" ht="15.75" customHeight="1">
      <c r="L487" s="78"/>
    </row>
    <row r="488" spans="12:12" ht="15.75" customHeight="1">
      <c r="L488" s="78"/>
    </row>
    <row r="489" spans="12:12" ht="15.75" customHeight="1">
      <c r="L489" s="78"/>
    </row>
    <row r="490" spans="12:12" ht="15.75" customHeight="1">
      <c r="L490" s="78"/>
    </row>
    <row r="491" spans="12:12" ht="15.75" customHeight="1">
      <c r="L491" s="78"/>
    </row>
    <row r="492" spans="12:12" ht="15.75" customHeight="1">
      <c r="L492" s="78"/>
    </row>
    <row r="493" spans="12:12" ht="15.75" customHeight="1">
      <c r="L493" s="78"/>
    </row>
    <row r="494" spans="12:12" ht="15.75" customHeight="1">
      <c r="L494" s="78"/>
    </row>
    <row r="495" spans="12:12" ht="15.75" customHeight="1">
      <c r="L495" s="78"/>
    </row>
    <row r="496" spans="12:12" ht="15.75" customHeight="1">
      <c r="L496" s="78"/>
    </row>
    <row r="497" spans="12:12" ht="15.75" customHeight="1">
      <c r="L497" s="78"/>
    </row>
    <row r="498" spans="12:12" ht="15.75" customHeight="1">
      <c r="L498" s="78"/>
    </row>
    <row r="499" spans="12:12" ht="15.75" customHeight="1">
      <c r="L499" s="78"/>
    </row>
    <row r="500" spans="12:12" ht="15.75" customHeight="1">
      <c r="L500" s="78"/>
    </row>
    <row r="501" spans="12:12" ht="15.75" customHeight="1">
      <c r="L501" s="78"/>
    </row>
    <row r="502" spans="12:12" ht="15.75" customHeight="1">
      <c r="L502" s="78"/>
    </row>
    <row r="503" spans="12:12" ht="15.75" customHeight="1">
      <c r="L503" s="78"/>
    </row>
    <row r="504" spans="12:12" ht="15.75" customHeight="1">
      <c r="L504" s="78"/>
    </row>
    <row r="505" spans="12:12" ht="15.75" customHeight="1">
      <c r="L505" s="78"/>
    </row>
    <row r="506" spans="12:12" ht="15.75" customHeight="1">
      <c r="L506" s="78"/>
    </row>
    <row r="507" spans="12:12" ht="15.75" customHeight="1">
      <c r="L507" s="78"/>
    </row>
    <row r="508" spans="12:12" ht="15.75" customHeight="1">
      <c r="L508" s="78"/>
    </row>
    <row r="509" spans="12:12" ht="15.75" customHeight="1">
      <c r="L509" s="78"/>
    </row>
    <row r="510" spans="12:12" ht="15.75" customHeight="1">
      <c r="L510" s="78"/>
    </row>
    <row r="511" spans="12:12" ht="15.75" customHeight="1">
      <c r="L511" s="78"/>
    </row>
    <row r="512" spans="12:12" ht="15.75" customHeight="1">
      <c r="L512" s="78"/>
    </row>
    <row r="513" spans="12:12" ht="15.75" customHeight="1">
      <c r="L513" s="78"/>
    </row>
    <row r="514" spans="12:12" ht="15.75" customHeight="1">
      <c r="L514" s="78"/>
    </row>
    <row r="515" spans="12:12" ht="15.75" customHeight="1">
      <c r="L515" s="78"/>
    </row>
    <row r="516" spans="12:12" ht="15.75" customHeight="1">
      <c r="L516" s="78"/>
    </row>
    <row r="517" spans="12:12" ht="15.75" customHeight="1">
      <c r="L517" s="78"/>
    </row>
    <row r="518" spans="12:12" ht="15.75" customHeight="1">
      <c r="L518" s="78"/>
    </row>
    <row r="519" spans="12:12" ht="15.75" customHeight="1">
      <c r="L519" s="78"/>
    </row>
    <row r="520" spans="12:12" ht="15.75" customHeight="1">
      <c r="L520" s="78"/>
    </row>
    <row r="521" spans="12:12" ht="15.75" customHeight="1">
      <c r="L521" s="78"/>
    </row>
    <row r="522" spans="12:12" ht="15.75" customHeight="1">
      <c r="L522" s="78"/>
    </row>
    <row r="523" spans="12:12" ht="15.75" customHeight="1">
      <c r="L523" s="78"/>
    </row>
    <row r="524" spans="12:12" ht="15.75" customHeight="1">
      <c r="L524" s="78"/>
    </row>
    <row r="525" spans="12:12" ht="15.75" customHeight="1">
      <c r="L525" s="78"/>
    </row>
    <row r="526" spans="12:12" ht="15.75" customHeight="1">
      <c r="L526" s="78"/>
    </row>
    <row r="527" spans="12:12" ht="15.75" customHeight="1">
      <c r="L527" s="78"/>
    </row>
    <row r="528" spans="12:12" ht="15.75" customHeight="1">
      <c r="L528" s="78"/>
    </row>
    <row r="529" spans="12:12" ht="15.75" customHeight="1">
      <c r="L529" s="78"/>
    </row>
    <row r="530" spans="12:12" ht="15.75" customHeight="1">
      <c r="L530" s="78"/>
    </row>
    <row r="531" spans="12:12" ht="15.75" customHeight="1">
      <c r="L531" s="78"/>
    </row>
    <row r="532" spans="12:12" ht="15.75" customHeight="1">
      <c r="L532" s="78"/>
    </row>
    <row r="533" spans="12:12" ht="15.75" customHeight="1">
      <c r="L533" s="78"/>
    </row>
    <row r="534" spans="12:12" ht="15.75" customHeight="1">
      <c r="L534" s="78"/>
    </row>
    <row r="535" spans="12:12" ht="15.75" customHeight="1">
      <c r="L535" s="78"/>
    </row>
    <row r="536" spans="12:12" ht="15.75" customHeight="1">
      <c r="L536" s="78"/>
    </row>
    <row r="537" spans="12:12" ht="15.75" customHeight="1">
      <c r="L537" s="78"/>
    </row>
    <row r="538" spans="12:12" ht="15.75" customHeight="1">
      <c r="L538" s="78"/>
    </row>
    <row r="539" spans="12:12" ht="15.75" customHeight="1">
      <c r="L539" s="78"/>
    </row>
    <row r="540" spans="12:12" ht="15.75" customHeight="1">
      <c r="L540" s="78"/>
    </row>
    <row r="541" spans="12:12" ht="15.75" customHeight="1">
      <c r="L541" s="78"/>
    </row>
    <row r="542" spans="12:12" ht="15.75" customHeight="1">
      <c r="L542" s="78"/>
    </row>
    <row r="543" spans="12:12" ht="15.75" customHeight="1">
      <c r="L543" s="78"/>
    </row>
    <row r="544" spans="12:12" ht="15.75" customHeight="1">
      <c r="L544" s="78"/>
    </row>
    <row r="545" spans="12:12" ht="15.75" customHeight="1">
      <c r="L545" s="78"/>
    </row>
    <row r="546" spans="12:12" ht="15.75" customHeight="1">
      <c r="L546" s="78"/>
    </row>
    <row r="547" spans="12:12" ht="15.75" customHeight="1">
      <c r="L547" s="78"/>
    </row>
    <row r="548" spans="12:12" ht="15.75" customHeight="1">
      <c r="L548" s="78"/>
    </row>
    <row r="549" spans="12:12" ht="15.75" customHeight="1">
      <c r="L549" s="78"/>
    </row>
    <row r="550" spans="12:12" ht="15.75" customHeight="1">
      <c r="L550" s="78"/>
    </row>
    <row r="551" spans="12:12" ht="15.75" customHeight="1">
      <c r="L551" s="78"/>
    </row>
    <row r="552" spans="12:12" ht="15.75" customHeight="1">
      <c r="L552" s="78"/>
    </row>
    <row r="553" spans="12:12" ht="15.75" customHeight="1">
      <c r="L553" s="78"/>
    </row>
    <row r="554" spans="12:12" ht="15.75" customHeight="1">
      <c r="L554" s="78"/>
    </row>
    <row r="555" spans="12:12" ht="15.75" customHeight="1">
      <c r="L555" s="78"/>
    </row>
    <row r="556" spans="12:12" ht="15.75" customHeight="1">
      <c r="L556" s="78"/>
    </row>
    <row r="557" spans="12:12" ht="15.75" customHeight="1">
      <c r="L557" s="78"/>
    </row>
    <row r="558" spans="12:12" ht="15.75" customHeight="1">
      <c r="L558" s="78"/>
    </row>
    <row r="559" spans="12:12" ht="15.75" customHeight="1">
      <c r="L559" s="78"/>
    </row>
    <row r="560" spans="12:12" ht="15.75" customHeight="1">
      <c r="L560" s="78"/>
    </row>
    <row r="561" spans="12:12" ht="15.75" customHeight="1">
      <c r="L561" s="78"/>
    </row>
    <row r="562" spans="12:12" ht="15.75" customHeight="1">
      <c r="L562" s="78"/>
    </row>
    <row r="563" spans="12:12" ht="15.75" customHeight="1">
      <c r="L563" s="78"/>
    </row>
    <row r="564" spans="12:12" ht="15.75" customHeight="1">
      <c r="L564" s="78"/>
    </row>
    <row r="565" spans="12:12" ht="15.75" customHeight="1">
      <c r="L565" s="78"/>
    </row>
    <row r="566" spans="12:12" ht="15.75" customHeight="1">
      <c r="L566" s="78"/>
    </row>
    <row r="567" spans="12:12" ht="15.75" customHeight="1">
      <c r="L567" s="78"/>
    </row>
    <row r="568" spans="12:12" ht="15.75" customHeight="1">
      <c r="L568" s="78"/>
    </row>
    <row r="569" spans="12:12" ht="15.75" customHeight="1">
      <c r="L569" s="78"/>
    </row>
    <row r="570" spans="12:12" ht="15.75" customHeight="1">
      <c r="L570" s="78"/>
    </row>
    <row r="571" spans="12:12" ht="15.75" customHeight="1">
      <c r="L571" s="78"/>
    </row>
    <row r="572" spans="12:12" ht="15.75" customHeight="1">
      <c r="L572" s="78"/>
    </row>
    <row r="573" spans="12:12" ht="15.75" customHeight="1">
      <c r="L573" s="78"/>
    </row>
    <row r="574" spans="12:12" ht="15.75" customHeight="1">
      <c r="L574" s="78"/>
    </row>
    <row r="575" spans="12:12" ht="15.75" customHeight="1">
      <c r="L575" s="78"/>
    </row>
    <row r="576" spans="12:12" ht="15.75" customHeight="1">
      <c r="L576" s="78"/>
    </row>
    <row r="577" spans="12:12" ht="15.75" customHeight="1">
      <c r="L577" s="78"/>
    </row>
    <row r="578" spans="12:12" ht="15.75" customHeight="1">
      <c r="L578" s="78"/>
    </row>
    <row r="579" spans="12:12" ht="15.75" customHeight="1">
      <c r="L579" s="78"/>
    </row>
    <row r="580" spans="12:12" ht="15.75" customHeight="1">
      <c r="L580" s="78"/>
    </row>
    <row r="581" spans="12:12" ht="15.75" customHeight="1">
      <c r="L581" s="78"/>
    </row>
    <row r="582" spans="12:12" ht="15.75" customHeight="1">
      <c r="L582" s="78"/>
    </row>
    <row r="583" spans="12:12" ht="15.75" customHeight="1">
      <c r="L583" s="78"/>
    </row>
    <row r="584" spans="12:12" ht="15.75" customHeight="1">
      <c r="L584" s="78"/>
    </row>
    <row r="585" spans="12:12" ht="15.75" customHeight="1">
      <c r="L585" s="78"/>
    </row>
    <row r="586" spans="12:12" ht="15.75" customHeight="1">
      <c r="L586" s="78"/>
    </row>
    <row r="587" spans="12:12" ht="15.75" customHeight="1">
      <c r="L587" s="78"/>
    </row>
    <row r="588" spans="12:12" ht="15.75" customHeight="1">
      <c r="L588" s="78"/>
    </row>
    <row r="589" spans="12:12" ht="15.75" customHeight="1">
      <c r="L589" s="78"/>
    </row>
    <row r="590" spans="12:12" ht="15.75" customHeight="1">
      <c r="L590" s="78"/>
    </row>
    <row r="591" spans="12:12" ht="15.75" customHeight="1">
      <c r="L591" s="78"/>
    </row>
    <row r="592" spans="12:12" ht="15.75" customHeight="1">
      <c r="L592" s="78"/>
    </row>
    <row r="593" spans="12:12" ht="15.75" customHeight="1">
      <c r="L593" s="78"/>
    </row>
    <row r="594" spans="12:12" ht="15.75" customHeight="1">
      <c r="L594" s="78"/>
    </row>
    <row r="595" spans="12:12" ht="15.75" customHeight="1">
      <c r="L595" s="78"/>
    </row>
    <row r="596" spans="12:12" ht="15.75" customHeight="1">
      <c r="L596" s="78"/>
    </row>
    <row r="597" spans="12:12" ht="15.75" customHeight="1">
      <c r="L597" s="78"/>
    </row>
    <row r="598" spans="12:12" ht="15.75" customHeight="1">
      <c r="L598" s="78"/>
    </row>
    <row r="599" spans="12:12" ht="15.75" customHeight="1">
      <c r="L599" s="78"/>
    </row>
    <row r="600" spans="12:12" ht="15.75" customHeight="1">
      <c r="L600" s="78"/>
    </row>
    <row r="601" spans="12:12" ht="15.75" customHeight="1">
      <c r="L601" s="78"/>
    </row>
    <row r="602" spans="12:12" ht="15.75" customHeight="1">
      <c r="L602" s="78"/>
    </row>
    <row r="603" spans="12:12" ht="15.75" customHeight="1">
      <c r="L603" s="78"/>
    </row>
    <row r="604" spans="12:12" ht="15.75" customHeight="1">
      <c r="L604" s="78"/>
    </row>
    <row r="605" spans="12:12" ht="15.75" customHeight="1">
      <c r="L605" s="78"/>
    </row>
    <row r="606" spans="12:12" ht="15.75" customHeight="1">
      <c r="L606" s="78"/>
    </row>
    <row r="607" spans="12:12" ht="15.75" customHeight="1">
      <c r="L607" s="78"/>
    </row>
    <row r="608" spans="12:12" ht="15.75" customHeight="1">
      <c r="L608" s="78"/>
    </row>
    <row r="609" spans="12:12" ht="15.75" customHeight="1">
      <c r="L609" s="78"/>
    </row>
    <row r="610" spans="12:12" ht="15.75" customHeight="1">
      <c r="L610" s="78"/>
    </row>
    <row r="611" spans="12:12" ht="15.75" customHeight="1">
      <c r="L611" s="78"/>
    </row>
    <row r="612" spans="12:12" ht="15.75" customHeight="1">
      <c r="L612" s="78"/>
    </row>
    <row r="613" spans="12:12" ht="15.75" customHeight="1">
      <c r="L613" s="78"/>
    </row>
    <row r="614" spans="12:12" ht="15.75" customHeight="1">
      <c r="L614" s="78"/>
    </row>
    <row r="615" spans="12:12" ht="15.75" customHeight="1">
      <c r="L615" s="78"/>
    </row>
    <row r="616" spans="12:12" ht="15.75" customHeight="1">
      <c r="L616" s="78"/>
    </row>
    <row r="617" spans="12:12" ht="15.75" customHeight="1">
      <c r="L617" s="78"/>
    </row>
    <row r="618" spans="12:12" ht="15.75" customHeight="1">
      <c r="L618" s="78"/>
    </row>
    <row r="619" spans="12:12" ht="15.75" customHeight="1">
      <c r="L619" s="78"/>
    </row>
    <row r="620" spans="12:12" ht="15.75" customHeight="1">
      <c r="L620" s="78"/>
    </row>
    <row r="621" spans="12:12" ht="15.75" customHeight="1">
      <c r="L621" s="78"/>
    </row>
    <row r="622" spans="12:12" ht="15.75" customHeight="1">
      <c r="L622" s="78"/>
    </row>
    <row r="623" spans="12:12" ht="15.75" customHeight="1">
      <c r="L623" s="78"/>
    </row>
    <row r="624" spans="12:12" ht="15.75" customHeight="1">
      <c r="L624" s="78"/>
    </row>
    <row r="625" spans="12:12" ht="15.75" customHeight="1">
      <c r="L625" s="78"/>
    </row>
    <row r="626" spans="12:12" ht="15.75" customHeight="1">
      <c r="L626" s="78"/>
    </row>
    <row r="627" spans="12:12" ht="15.75" customHeight="1">
      <c r="L627" s="78"/>
    </row>
    <row r="628" spans="12:12" ht="15.75" customHeight="1">
      <c r="L628" s="78"/>
    </row>
    <row r="629" spans="12:12" ht="15.75" customHeight="1">
      <c r="L629" s="78"/>
    </row>
    <row r="630" spans="12:12" ht="15.75" customHeight="1">
      <c r="L630" s="78"/>
    </row>
    <row r="631" spans="12:12" ht="15.75" customHeight="1">
      <c r="L631" s="78"/>
    </row>
    <row r="632" spans="12:12" ht="15.75" customHeight="1">
      <c r="L632" s="78"/>
    </row>
    <row r="633" spans="12:12" ht="15.75" customHeight="1">
      <c r="L633" s="78"/>
    </row>
    <row r="634" spans="12:12" ht="15.75" customHeight="1">
      <c r="L634" s="78"/>
    </row>
    <row r="635" spans="12:12" ht="15.75" customHeight="1">
      <c r="L635" s="78"/>
    </row>
    <row r="636" spans="12:12" ht="15.75" customHeight="1">
      <c r="L636" s="78"/>
    </row>
    <row r="637" spans="12:12" ht="15.75" customHeight="1">
      <c r="L637" s="78"/>
    </row>
    <row r="638" spans="12:12" ht="15.75" customHeight="1">
      <c r="L638" s="78"/>
    </row>
    <row r="639" spans="12:12" ht="15.75" customHeight="1">
      <c r="L639" s="78"/>
    </row>
    <row r="640" spans="12:12" ht="15.75" customHeight="1">
      <c r="L640" s="78"/>
    </row>
    <row r="641" spans="12:12" ht="15.75" customHeight="1">
      <c r="L641" s="78"/>
    </row>
    <row r="642" spans="12:12" ht="15.75" customHeight="1">
      <c r="L642" s="78"/>
    </row>
    <row r="643" spans="12:12" ht="15.75" customHeight="1">
      <c r="L643" s="78"/>
    </row>
    <row r="644" spans="12:12" ht="15.75" customHeight="1">
      <c r="L644" s="78"/>
    </row>
    <row r="645" spans="12:12" ht="15.75" customHeight="1">
      <c r="L645" s="78"/>
    </row>
    <row r="646" spans="12:12" ht="15.75" customHeight="1">
      <c r="L646" s="78"/>
    </row>
    <row r="647" spans="12:12" ht="15.75" customHeight="1">
      <c r="L647" s="78"/>
    </row>
    <row r="648" spans="12:12" ht="15.75" customHeight="1">
      <c r="L648" s="78"/>
    </row>
    <row r="649" spans="12:12" ht="15.75" customHeight="1">
      <c r="L649" s="78"/>
    </row>
    <row r="650" spans="12:12" ht="15.75" customHeight="1">
      <c r="L650" s="78"/>
    </row>
    <row r="651" spans="12:12" ht="15.75" customHeight="1">
      <c r="L651" s="78"/>
    </row>
    <row r="652" spans="12:12" ht="15.75" customHeight="1">
      <c r="L652" s="78"/>
    </row>
    <row r="653" spans="12:12" ht="15.75" customHeight="1">
      <c r="L653" s="78"/>
    </row>
    <row r="654" spans="12:12" ht="15.75" customHeight="1">
      <c r="L654" s="78"/>
    </row>
    <row r="655" spans="12:12" ht="15.75" customHeight="1">
      <c r="L655" s="78"/>
    </row>
    <row r="656" spans="12:12" ht="15.75" customHeight="1">
      <c r="L656" s="78"/>
    </row>
    <row r="657" spans="12:12" ht="15.75" customHeight="1">
      <c r="L657" s="78"/>
    </row>
    <row r="658" spans="12:12" ht="15.75" customHeight="1">
      <c r="L658" s="78"/>
    </row>
    <row r="659" spans="12:12" ht="15.75" customHeight="1">
      <c r="L659" s="78"/>
    </row>
    <row r="660" spans="12:12" ht="15.75" customHeight="1">
      <c r="L660" s="78"/>
    </row>
    <row r="661" spans="12:12" ht="15.75" customHeight="1">
      <c r="L661" s="78"/>
    </row>
    <row r="662" spans="12:12" ht="15.75" customHeight="1">
      <c r="L662" s="78"/>
    </row>
    <row r="663" spans="12:12" ht="15.75" customHeight="1">
      <c r="L663" s="78"/>
    </row>
    <row r="664" spans="12:12" ht="15.75" customHeight="1">
      <c r="L664" s="78"/>
    </row>
    <row r="665" spans="12:12" ht="15.75" customHeight="1">
      <c r="L665" s="78"/>
    </row>
    <row r="666" spans="12:12" ht="15.75" customHeight="1">
      <c r="L666" s="78"/>
    </row>
    <row r="667" spans="12:12" ht="15.75" customHeight="1">
      <c r="L667" s="78"/>
    </row>
    <row r="668" spans="12:12" ht="15.75" customHeight="1">
      <c r="L668" s="78"/>
    </row>
    <row r="669" spans="12:12" ht="15.75" customHeight="1">
      <c r="L669" s="78"/>
    </row>
    <row r="670" spans="12:12" ht="15.75" customHeight="1">
      <c r="L670" s="78"/>
    </row>
    <row r="671" spans="12:12" ht="15.75" customHeight="1">
      <c r="L671" s="78"/>
    </row>
    <row r="672" spans="12:12" ht="15.75" customHeight="1">
      <c r="L672" s="78"/>
    </row>
    <row r="673" spans="12:12" ht="15.75" customHeight="1">
      <c r="L673" s="78"/>
    </row>
    <row r="674" spans="12:12" ht="15.75" customHeight="1">
      <c r="L674" s="78"/>
    </row>
    <row r="675" spans="12:12" ht="15.75" customHeight="1">
      <c r="L675" s="78"/>
    </row>
    <row r="676" spans="12:12" ht="15.75" customHeight="1">
      <c r="L676" s="78"/>
    </row>
    <row r="677" spans="12:12" ht="15.75" customHeight="1">
      <c r="L677" s="78"/>
    </row>
    <row r="678" spans="12:12" ht="15.75" customHeight="1">
      <c r="L678" s="78"/>
    </row>
    <row r="679" spans="12:12" ht="15.75" customHeight="1">
      <c r="L679" s="78"/>
    </row>
    <row r="680" spans="12:12" ht="15.75" customHeight="1">
      <c r="L680" s="78"/>
    </row>
    <row r="681" spans="12:12" ht="15.75" customHeight="1">
      <c r="L681" s="78"/>
    </row>
    <row r="682" spans="12:12" ht="15.75" customHeight="1">
      <c r="L682" s="78"/>
    </row>
    <row r="683" spans="12:12" ht="15.75" customHeight="1">
      <c r="L683" s="78"/>
    </row>
    <row r="684" spans="12:12" ht="15.75" customHeight="1">
      <c r="L684" s="78"/>
    </row>
    <row r="685" spans="12:12" ht="15.75" customHeight="1">
      <c r="L685" s="78"/>
    </row>
    <row r="686" spans="12:12" ht="15.75" customHeight="1">
      <c r="L686" s="78"/>
    </row>
    <row r="687" spans="12:12" ht="15.75" customHeight="1">
      <c r="L687" s="78"/>
    </row>
    <row r="688" spans="12:12" ht="15.75" customHeight="1">
      <c r="L688" s="78"/>
    </row>
    <row r="689" spans="12:12" ht="15.75" customHeight="1">
      <c r="L689" s="78"/>
    </row>
    <row r="690" spans="12:12" ht="15.75" customHeight="1">
      <c r="L690" s="78"/>
    </row>
    <row r="691" spans="12:12" ht="15.75" customHeight="1">
      <c r="L691" s="78"/>
    </row>
    <row r="692" spans="12:12" ht="15.75" customHeight="1">
      <c r="L692" s="78"/>
    </row>
    <row r="693" spans="12:12" ht="15.75" customHeight="1">
      <c r="L693" s="78"/>
    </row>
    <row r="694" spans="12:12" ht="15.75" customHeight="1">
      <c r="L694" s="78"/>
    </row>
    <row r="695" spans="12:12" ht="15.75" customHeight="1">
      <c r="L695" s="78"/>
    </row>
    <row r="696" spans="12:12" ht="15.75" customHeight="1">
      <c r="L696" s="78"/>
    </row>
    <row r="697" spans="12:12" ht="15.75" customHeight="1">
      <c r="L697" s="78"/>
    </row>
    <row r="698" spans="12:12" ht="15.75" customHeight="1">
      <c r="L698" s="78"/>
    </row>
    <row r="699" spans="12:12" ht="15.75" customHeight="1">
      <c r="L699" s="78"/>
    </row>
    <row r="700" spans="12:12" ht="15.75" customHeight="1">
      <c r="L700" s="78"/>
    </row>
    <row r="701" spans="12:12" ht="15.75" customHeight="1">
      <c r="L701" s="78"/>
    </row>
    <row r="702" spans="12:12" ht="15.75" customHeight="1">
      <c r="L702" s="78"/>
    </row>
    <row r="703" spans="12:12" ht="15.75" customHeight="1">
      <c r="L703" s="78"/>
    </row>
    <row r="704" spans="12:12" ht="15.75" customHeight="1">
      <c r="L704" s="78"/>
    </row>
    <row r="705" spans="12:12" ht="15.75" customHeight="1">
      <c r="L705" s="78"/>
    </row>
    <row r="706" spans="12:12" ht="15.75" customHeight="1">
      <c r="L706" s="78"/>
    </row>
    <row r="707" spans="12:12" ht="15.75" customHeight="1">
      <c r="L707" s="78"/>
    </row>
    <row r="708" spans="12:12" ht="15.75" customHeight="1">
      <c r="L708" s="78"/>
    </row>
    <row r="709" spans="12:12" ht="15.75" customHeight="1">
      <c r="L709" s="78"/>
    </row>
    <row r="710" spans="12:12" ht="15.75" customHeight="1">
      <c r="L710" s="78"/>
    </row>
    <row r="711" spans="12:12" ht="15.75" customHeight="1">
      <c r="L711" s="78"/>
    </row>
    <row r="712" spans="12:12" ht="15.75" customHeight="1">
      <c r="L712" s="78"/>
    </row>
    <row r="713" spans="12:12" ht="15.75" customHeight="1">
      <c r="L713" s="78"/>
    </row>
    <row r="714" spans="12:12" ht="15.75" customHeight="1">
      <c r="L714" s="78"/>
    </row>
    <row r="715" spans="12:12" ht="15.75" customHeight="1">
      <c r="L715" s="78"/>
    </row>
    <row r="716" spans="12:12" ht="15.75" customHeight="1">
      <c r="L716" s="78"/>
    </row>
    <row r="717" spans="12:12" ht="15.75" customHeight="1">
      <c r="L717" s="78"/>
    </row>
    <row r="718" spans="12:12" ht="15.75" customHeight="1">
      <c r="L718" s="78"/>
    </row>
    <row r="719" spans="12:12" ht="15.75" customHeight="1">
      <c r="L719" s="78"/>
    </row>
    <row r="720" spans="12:12" ht="15.75" customHeight="1">
      <c r="L720" s="78"/>
    </row>
    <row r="721" spans="12:12" ht="15.75" customHeight="1">
      <c r="L721" s="78"/>
    </row>
    <row r="722" spans="12:12" ht="15.75" customHeight="1">
      <c r="L722" s="78"/>
    </row>
    <row r="723" spans="12:12" ht="15.75" customHeight="1">
      <c r="L723" s="78"/>
    </row>
    <row r="724" spans="12:12" ht="15.75" customHeight="1">
      <c r="L724" s="78"/>
    </row>
    <row r="725" spans="12:12" ht="15.75" customHeight="1">
      <c r="L725" s="78"/>
    </row>
    <row r="726" spans="12:12" ht="15.75" customHeight="1">
      <c r="L726" s="78"/>
    </row>
    <row r="727" spans="12:12" ht="15.75" customHeight="1">
      <c r="L727" s="78"/>
    </row>
    <row r="728" spans="12:12" ht="15.75" customHeight="1">
      <c r="L728" s="78"/>
    </row>
    <row r="729" spans="12:12" ht="15.75" customHeight="1">
      <c r="L729" s="78"/>
    </row>
    <row r="730" spans="12:12" ht="15.75" customHeight="1">
      <c r="L730" s="78"/>
    </row>
    <row r="731" spans="12:12" ht="15.75" customHeight="1">
      <c r="L731" s="78"/>
    </row>
    <row r="732" spans="12:12" ht="15.75" customHeight="1">
      <c r="L732" s="78"/>
    </row>
    <row r="733" spans="12:12" ht="15.75" customHeight="1">
      <c r="L733" s="78"/>
    </row>
    <row r="734" spans="12:12" ht="15.75" customHeight="1">
      <c r="L734" s="78"/>
    </row>
    <row r="735" spans="12:12" ht="15.75" customHeight="1">
      <c r="L735" s="78"/>
    </row>
    <row r="736" spans="12:12" ht="15.75" customHeight="1">
      <c r="L736" s="78"/>
    </row>
    <row r="737" spans="12:12" ht="15.75" customHeight="1">
      <c r="L737" s="78"/>
    </row>
    <row r="738" spans="12:12" ht="15.75" customHeight="1">
      <c r="L738" s="78"/>
    </row>
    <row r="739" spans="12:12" ht="15.75" customHeight="1">
      <c r="L739" s="78"/>
    </row>
    <row r="740" spans="12:12" ht="15.75" customHeight="1">
      <c r="L740" s="78"/>
    </row>
    <row r="741" spans="12:12" ht="15.75" customHeight="1">
      <c r="L741" s="78"/>
    </row>
    <row r="742" spans="12:12" ht="15.75" customHeight="1">
      <c r="L742" s="78"/>
    </row>
    <row r="743" spans="12:12" ht="15.75" customHeight="1">
      <c r="L743" s="78"/>
    </row>
    <row r="744" spans="12:12" ht="15.75" customHeight="1">
      <c r="L744" s="78"/>
    </row>
    <row r="745" spans="12:12" ht="15.75" customHeight="1">
      <c r="L745" s="78"/>
    </row>
    <row r="746" spans="12:12" ht="15.75" customHeight="1">
      <c r="L746" s="78"/>
    </row>
    <row r="747" spans="12:12" ht="15.75" customHeight="1">
      <c r="L747" s="78"/>
    </row>
    <row r="748" spans="12:12" ht="15.75" customHeight="1">
      <c r="L748" s="78"/>
    </row>
    <row r="749" spans="12:12" ht="15.75" customHeight="1">
      <c r="L749" s="78"/>
    </row>
    <row r="750" spans="12:12" ht="15.75" customHeight="1">
      <c r="L750" s="78"/>
    </row>
    <row r="751" spans="12:12" ht="15.75" customHeight="1">
      <c r="L751" s="78"/>
    </row>
    <row r="752" spans="12:12" ht="15.75" customHeight="1">
      <c r="L752" s="78"/>
    </row>
    <row r="753" spans="12:12" ht="15.75" customHeight="1">
      <c r="L753" s="78"/>
    </row>
    <row r="754" spans="12:12" ht="15.75" customHeight="1">
      <c r="L754" s="78"/>
    </row>
    <row r="755" spans="12:12" ht="15.75" customHeight="1">
      <c r="L755" s="78"/>
    </row>
    <row r="756" spans="12:12" ht="15.75" customHeight="1">
      <c r="L756" s="78"/>
    </row>
    <row r="757" spans="12:12" ht="15.75" customHeight="1">
      <c r="L757" s="78"/>
    </row>
    <row r="758" spans="12:12" ht="15.75" customHeight="1">
      <c r="L758" s="78"/>
    </row>
    <row r="759" spans="12:12" ht="15.75" customHeight="1">
      <c r="L759" s="78"/>
    </row>
    <row r="760" spans="12:12" ht="15.75" customHeight="1">
      <c r="L760" s="78"/>
    </row>
    <row r="761" spans="12:12" ht="15.75" customHeight="1">
      <c r="L761" s="78"/>
    </row>
    <row r="762" spans="12:12" ht="15.75" customHeight="1">
      <c r="L762" s="78"/>
    </row>
    <row r="763" spans="12:12" ht="15.75" customHeight="1">
      <c r="L763" s="78"/>
    </row>
    <row r="764" spans="12:12" ht="15.75" customHeight="1">
      <c r="L764" s="78"/>
    </row>
    <row r="765" spans="12:12" ht="15.75" customHeight="1">
      <c r="L765" s="78"/>
    </row>
    <row r="766" spans="12:12" ht="15.75" customHeight="1">
      <c r="L766" s="78"/>
    </row>
    <row r="767" spans="12:12" ht="15.75" customHeight="1">
      <c r="L767" s="78"/>
    </row>
    <row r="768" spans="12:12" ht="15.75" customHeight="1">
      <c r="L768" s="78"/>
    </row>
    <row r="769" spans="12:12" ht="15.75" customHeight="1">
      <c r="L769" s="78"/>
    </row>
    <row r="770" spans="12:12" ht="15.75" customHeight="1">
      <c r="L770" s="78"/>
    </row>
    <row r="771" spans="12:12" ht="15.75" customHeight="1">
      <c r="L771" s="78"/>
    </row>
    <row r="772" spans="12:12" ht="15.75" customHeight="1">
      <c r="L772" s="78"/>
    </row>
    <row r="773" spans="12:12" ht="15.75" customHeight="1">
      <c r="L773" s="78"/>
    </row>
    <row r="774" spans="12:12" ht="15.75" customHeight="1">
      <c r="L774" s="78"/>
    </row>
    <row r="775" spans="12:12" ht="15.75" customHeight="1">
      <c r="L775" s="78"/>
    </row>
    <row r="776" spans="12:12" ht="15.75" customHeight="1">
      <c r="L776" s="78"/>
    </row>
    <row r="777" spans="12:12" ht="15.75" customHeight="1">
      <c r="L777" s="78"/>
    </row>
    <row r="778" spans="12:12" ht="15.75" customHeight="1">
      <c r="L778" s="78"/>
    </row>
    <row r="779" spans="12:12" ht="15.75" customHeight="1">
      <c r="L779" s="78"/>
    </row>
    <row r="780" spans="12:12" ht="15.75" customHeight="1">
      <c r="L780" s="78"/>
    </row>
    <row r="781" spans="12:12" ht="15.75" customHeight="1">
      <c r="L781" s="78"/>
    </row>
    <row r="782" spans="12:12" ht="15.75" customHeight="1">
      <c r="L782" s="78"/>
    </row>
    <row r="783" spans="12:12" ht="15.75" customHeight="1">
      <c r="L783" s="78"/>
    </row>
    <row r="784" spans="12:12" ht="15.75" customHeight="1">
      <c r="L784" s="78"/>
    </row>
    <row r="785" spans="12:12" ht="15.75" customHeight="1">
      <c r="L785" s="78"/>
    </row>
    <row r="786" spans="12:12" ht="15.75" customHeight="1">
      <c r="L786" s="78"/>
    </row>
    <row r="787" spans="12:12" ht="15.75" customHeight="1">
      <c r="L787" s="78"/>
    </row>
    <row r="788" spans="12:12" ht="15.75" customHeight="1">
      <c r="L788" s="78"/>
    </row>
    <row r="789" spans="12:12" ht="15.75" customHeight="1">
      <c r="L789" s="78"/>
    </row>
    <row r="790" spans="12:12" ht="15.75" customHeight="1">
      <c r="L790" s="78"/>
    </row>
    <row r="791" spans="12:12" ht="15.75" customHeight="1">
      <c r="L791" s="78"/>
    </row>
    <row r="792" spans="12:12" ht="15.75" customHeight="1">
      <c r="L792" s="78"/>
    </row>
    <row r="793" spans="12:12" ht="15.75" customHeight="1">
      <c r="L793" s="78"/>
    </row>
    <row r="794" spans="12:12" ht="15.75" customHeight="1">
      <c r="L794" s="78"/>
    </row>
    <row r="795" spans="12:12" ht="15.75" customHeight="1">
      <c r="L795" s="78"/>
    </row>
    <row r="796" spans="12:12" ht="15.75" customHeight="1">
      <c r="L796" s="78"/>
    </row>
    <row r="797" spans="12:12" ht="15.75" customHeight="1">
      <c r="L797" s="78"/>
    </row>
    <row r="798" spans="12:12" ht="15.75" customHeight="1">
      <c r="L798" s="78"/>
    </row>
    <row r="799" spans="12:12" ht="15.75" customHeight="1">
      <c r="L799" s="78"/>
    </row>
    <row r="800" spans="12:12" ht="15.75" customHeight="1">
      <c r="L800" s="78"/>
    </row>
    <row r="801" spans="12:12" ht="15.75" customHeight="1">
      <c r="L801" s="78"/>
    </row>
    <row r="802" spans="12:12" ht="15.75" customHeight="1">
      <c r="L802" s="78"/>
    </row>
    <row r="803" spans="12:12" ht="15.75" customHeight="1">
      <c r="L803" s="78"/>
    </row>
    <row r="804" spans="12:12" ht="15.75" customHeight="1">
      <c r="L804" s="78"/>
    </row>
    <row r="805" spans="12:12" ht="15.75" customHeight="1">
      <c r="L805" s="78"/>
    </row>
    <row r="806" spans="12:12" ht="15.75" customHeight="1">
      <c r="L806" s="78"/>
    </row>
    <row r="807" spans="12:12" ht="15.75" customHeight="1">
      <c r="L807" s="78"/>
    </row>
    <row r="808" spans="12:12" ht="15.75" customHeight="1">
      <c r="L808" s="78"/>
    </row>
    <row r="809" spans="12:12" ht="15.75" customHeight="1">
      <c r="L809" s="78"/>
    </row>
    <row r="810" spans="12:12" ht="15.75" customHeight="1">
      <c r="L810" s="78"/>
    </row>
    <row r="811" spans="12:12" ht="15.75" customHeight="1">
      <c r="L811" s="78"/>
    </row>
    <row r="812" spans="12:12" ht="15.75" customHeight="1">
      <c r="L812" s="78"/>
    </row>
    <row r="813" spans="12:12" ht="15.75" customHeight="1">
      <c r="L813" s="78"/>
    </row>
    <row r="814" spans="12:12" ht="15.75" customHeight="1">
      <c r="L814" s="78"/>
    </row>
    <row r="815" spans="12:12" ht="15.75" customHeight="1">
      <c r="L815" s="78"/>
    </row>
    <row r="816" spans="12:12" ht="15.75" customHeight="1">
      <c r="L816" s="78"/>
    </row>
    <row r="817" spans="12:12" ht="15.75" customHeight="1">
      <c r="L817" s="78"/>
    </row>
    <row r="818" spans="12:12" ht="15.75" customHeight="1">
      <c r="L818" s="78"/>
    </row>
    <row r="819" spans="12:12" ht="15.75" customHeight="1">
      <c r="L819" s="78"/>
    </row>
    <row r="820" spans="12:12" ht="15.75" customHeight="1">
      <c r="L820" s="78"/>
    </row>
    <row r="821" spans="12:12" ht="15.75" customHeight="1">
      <c r="L821" s="78"/>
    </row>
    <row r="822" spans="12:12" ht="15.75" customHeight="1">
      <c r="L822" s="78"/>
    </row>
    <row r="823" spans="12:12" ht="15.75" customHeight="1">
      <c r="L823" s="78"/>
    </row>
    <row r="824" spans="12:12" ht="15.75" customHeight="1">
      <c r="L824" s="78"/>
    </row>
    <row r="825" spans="12:12" ht="15.75" customHeight="1">
      <c r="L825" s="78"/>
    </row>
    <row r="826" spans="12:12" ht="15.75" customHeight="1">
      <c r="L826" s="78"/>
    </row>
    <row r="827" spans="12:12" ht="15.75" customHeight="1">
      <c r="L827" s="78"/>
    </row>
    <row r="828" spans="12:12" ht="15.75" customHeight="1">
      <c r="L828" s="78"/>
    </row>
    <row r="829" spans="12:12" ht="15.75" customHeight="1">
      <c r="L829" s="78"/>
    </row>
    <row r="830" spans="12:12" ht="15.75" customHeight="1">
      <c r="L830" s="78"/>
    </row>
    <row r="831" spans="12:12" ht="15.75" customHeight="1">
      <c r="L831" s="78"/>
    </row>
    <row r="832" spans="12:12" ht="15.75" customHeight="1">
      <c r="L832" s="78"/>
    </row>
    <row r="833" spans="12:12" ht="15.75" customHeight="1">
      <c r="L833" s="78"/>
    </row>
    <row r="834" spans="12:12" ht="15.75" customHeight="1">
      <c r="L834" s="78"/>
    </row>
    <row r="835" spans="12:12" ht="15.75" customHeight="1">
      <c r="L835" s="78"/>
    </row>
    <row r="836" spans="12:12" ht="15.75" customHeight="1">
      <c r="L836" s="78"/>
    </row>
    <row r="837" spans="12:12" ht="15.75" customHeight="1">
      <c r="L837" s="78"/>
    </row>
    <row r="838" spans="12:12" ht="15.75" customHeight="1">
      <c r="L838" s="78"/>
    </row>
    <row r="839" spans="12:12" ht="15.75" customHeight="1">
      <c r="L839" s="78"/>
    </row>
    <row r="840" spans="12:12" ht="15.75" customHeight="1">
      <c r="L840" s="78"/>
    </row>
    <row r="841" spans="12:12" ht="15.75" customHeight="1">
      <c r="L841" s="78"/>
    </row>
    <row r="842" spans="12:12" ht="15.75" customHeight="1">
      <c r="L842" s="78"/>
    </row>
    <row r="843" spans="12:12" ht="15.75" customHeight="1">
      <c r="L843" s="78"/>
    </row>
    <row r="844" spans="12:12" ht="15.75" customHeight="1">
      <c r="L844" s="78"/>
    </row>
    <row r="845" spans="12:12" ht="15.75" customHeight="1">
      <c r="L845" s="78"/>
    </row>
    <row r="846" spans="12:12" ht="15.75" customHeight="1">
      <c r="L846" s="78"/>
    </row>
    <row r="847" spans="12:12" ht="15.75" customHeight="1">
      <c r="L847" s="78"/>
    </row>
    <row r="848" spans="12:12" ht="15.75" customHeight="1">
      <c r="L848" s="78"/>
    </row>
    <row r="849" spans="12:12" ht="15.75" customHeight="1">
      <c r="L849" s="78"/>
    </row>
    <row r="850" spans="12:12" ht="15.75" customHeight="1">
      <c r="L850" s="78"/>
    </row>
    <row r="851" spans="12:12" ht="15.75" customHeight="1">
      <c r="L851" s="78"/>
    </row>
    <row r="852" spans="12:12" ht="15.75" customHeight="1">
      <c r="L852" s="78"/>
    </row>
    <row r="853" spans="12:12" ht="15.75" customHeight="1">
      <c r="L853" s="78"/>
    </row>
    <row r="854" spans="12:12" ht="15.75" customHeight="1">
      <c r="L854" s="78"/>
    </row>
    <row r="855" spans="12:12" ht="15.75" customHeight="1">
      <c r="L855" s="78"/>
    </row>
    <row r="856" spans="12:12" ht="15.75" customHeight="1">
      <c r="L856" s="78"/>
    </row>
    <row r="857" spans="12:12" ht="15.75" customHeight="1">
      <c r="L857" s="78"/>
    </row>
    <row r="858" spans="12:12" ht="15.75" customHeight="1">
      <c r="L858" s="78"/>
    </row>
    <row r="859" spans="12:12" ht="15.75" customHeight="1">
      <c r="L859" s="78"/>
    </row>
    <row r="860" spans="12:12" ht="15.75" customHeight="1">
      <c r="L860" s="78"/>
    </row>
    <row r="861" spans="12:12" ht="15.75" customHeight="1">
      <c r="L861" s="78"/>
    </row>
    <row r="862" spans="12:12" ht="15.75" customHeight="1">
      <c r="L862" s="78"/>
    </row>
    <row r="863" spans="12:12" ht="15.75" customHeight="1">
      <c r="L863" s="78"/>
    </row>
    <row r="864" spans="12:12" ht="15.75" customHeight="1">
      <c r="L864" s="78"/>
    </row>
    <row r="865" spans="12:12" ht="15.75" customHeight="1">
      <c r="L865" s="78"/>
    </row>
    <row r="866" spans="12:12" ht="15.75" customHeight="1">
      <c r="L866" s="78"/>
    </row>
    <row r="867" spans="12:12" ht="15.75" customHeight="1">
      <c r="L867" s="78"/>
    </row>
    <row r="868" spans="12:12" ht="15.75" customHeight="1">
      <c r="L868" s="78"/>
    </row>
    <row r="869" spans="12:12" ht="15.75" customHeight="1">
      <c r="L869" s="78"/>
    </row>
    <row r="870" spans="12:12" ht="15.75" customHeight="1">
      <c r="L870" s="78"/>
    </row>
    <row r="871" spans="12:12" ht="15.75" customHeight="1">
      <c r="L871" s="78"/>
    </row>
    <row r="872" spans="12:12" ht="15.75" customHeight="1">
      <c r="L872" s="78"/>
    </row>
    <row r="873" spans="12:12" ht="15.75" customHeight="1">
      <c r="L873" s="78"/>
    </row>
    <row r="874" spans="12:12" ht="15.75" customHeight="1">
      <c r="L874" s="78"/>
    </row>
    <row r="875" spans="12:12" ht="15.75" customHeight="1">
      <c r="L875" s="78"/>
    </row>
    <row r="876" spans="12:12" ht="15.75" customHeight="1">
      <c r="L876" s="78"/>
    </row>
    <row r="877" spans="12:12" ht="15.75" customHeight="1">
      <c r="L877" s="78"/>
    </row>
    <row r="878" spans="12:12" ht="15.75" customHeight="1">
      <c r="L878" s="78"/>
    </row>
    <row r="879" spans="12:12" ht="15.75" customHeight="1">
      <c r="L879" s="78"/>
    </row>
    <row r="880" spans="12:12" ht="15.75" customHeight="1">
      <c r="L880" s="78"/>
    </row>
    <row r="881" spans="12:12" ht="15.75" customHeight="1">
      <c r="L881" s="78"/>
    </row>
    <row r="882" spans="12:12" ht="15.75" customHeight="1">
      <c r="L882" s="78"/>
    </row>
    <row r="883" spans="12:12" ht="15.75" customHeight="1">
      <c r="L883" s="78"/>
    </row>
    <row r="884" spans="12:12" ht="15.75" customHeight="1">
      <c r="L884" s="78"/>
    </row>
    <row r="885" spans="12:12" ht="15.75" customHeight="1">
      <c r="L885" s="78"/>
    </row>
    <row r="886" spans="12:12" ht="15.75" customHeight="1">
      <c r="L886" s="78"/>
    </row>
    <row r="887" spans="12:12" ht="15.75" customHeight="1">
      <c r="L887" s="78"/>
    </row>
    <row r="888" spans="12:12" ht="15.75" customHeight="1">
      <c r="L888" s="78"/>
    </row>
    <row r="889" spans="12:12" ht="15.75" customHeight="1">
      <c r="L889" s="78"/>
    </row>
    <row r="890" spans="12:12" ht="15.75" customHeight="1">
      <c r="L890" s="78"/>
    </row>
    <row r="891" spans="12:12" ht="15.75" customHeight="1">
      <c r="L891" s="78"/>
    </row>
    <row r="892" spans="12:12" ht="15.75" customHeight="1">
      <c r="L892" s="78"/>
    </row>
    <row r="893" spans="12:12" ht="15.75" customHeight="1">
      <c r="L893" s="78"/>
    </row>
    <row r="894" spans="12:12" ht="15.75" customHeight="1">
      <c r="L894" s="78"/>
    </row>
    <row r="895" spans="12:12" ht="15.75" customHeight="1">
      <c r="L895" s="78"/>
    </row>
    <row r="896" spans="12:12" ht="15.75" customHeight="1">
      <c r="L896" s="78"/>
    </row>
    <row r="897" spans="12:12" ht="15.75" customHeight="1">
      <c r="L897" s="78"/>
    </row>
    <row r="898" spans="12:12" ht="15.75" customHeight="1">
      <c r="L898" s="78"/>
    </row>
    <row r="899" spans="12:12" ht="15.75" customHeight="1">
      <c r="L899" s="78"/>
    </row>
    <row r="900" spans="12:12" ht="15.75" customHeight="1">
      <c r="L900" s="78"/>
    </row>
    <row r="901" spans="12:12" ht="15.75" customHeight="1">
      <c r="L901" s="78"/>
    </row>
    <row r="902" spans="12:12" ht="15.75" customHeight="1">
      <c r="L902" s="78"/>
    </row>
    <row r="903" spans="12:12" ht="15.75" customHeight="1">
      <c r="L903" s="78"/>
    </row>
    <row r="904" spans="12:12" ht="15.75" customHeight="1">
      <c r="L904" s="78"/>
    </row>
    <row r="905" spans="12:12" ht="15.75" customHeight="1">
      <c r="L905" s="78"/>
    </row>
    <row r="906" spans="12:12" ht="15.75" customHeight="1">
      <c r="L906" s="78"/>
    </row>
    <row r="907" spans="12:12" ht="15.75" customHeight="1">
      <c r="L907" s="78"/>
    </row>
    <row r="908" spans="12:12" ht="15.75" customHeight="1">
      <c r="L908" s="78"/>
    </row>
    <row r="909" spans="12:12" ht="15.75" customHeight="1">
      <c r="L909" s="78"/>
    </row>
    <row r="910" spans="12:12" ht="15.75" customHeight="1">
      <c r="L910" s="78"/>
    </row>
    <row r="911" spans="12:12" ht="15.75" customHeight="1">
      <c r="L911" s="78"/>
    </row>
    <row r="912" spans="12:12" ht="15.75" customHeight="1">
      <c r="L912" s="78"/>
    </row>
    <row r="913" spans="12:12" ht="15.75" customHeight="1">
      <c r="L913" s="78"/>
    </row>
    <row r="914" spans="12:12" ht="15.75" customHeight="1">
      <c r="L914" s="78"/>
    </row>
    <row r="915" spans="12:12" ht="15.75" customHeight="1">
      <c r="L915" s="78"/>
    </row>
    <row r="916" spans="12:12" ht="15.75" customHeight="1">
      <c r="L916" s="78"/>
    </row>
    <row r="917" spans="12:12" ht="15.75" customHeight="1">
      <c r="L917" s="78"/>
    </row>
    <row r="918" spans="12:12" ht="15.75" customHeight="1">
      <c r="L918" s="78"/>
    </row>
    <row r="919" spans="12:12" ht="15.75" customHeight="1">
      <c r="L919" s="78"/>
    </row>
    <row r="920" spans="12:12" ht="15.75" customHeight="1">
      <c r="L920" s="78"/>
    </row>
    <row r="921" spans="12:12" ht="15.75" customHeight="1">
      <c r="L921" s="78"/>
    </row>
    <row r="922" spans="12:12" ht="15.75" customHeight="1">
      <c r="L922" s="78"/>
    </row>
    <row r="923" spans="12:12" ht="15.75" customHeight="1">
      <c r="L923" s="78"/>
    </row>
    <row r="924" spans="12:12" ht="15.75" customHeight="1">
      <c r="L924" s="78"/>
    </row>
    <row r="925" spans="12:12" ht="15.75" customHeight="1">
      <c r="L925" s="78"/>
    </row>
    <row r="926" spans="12:12" ht="15.75" customHeight="1">
      <c r="L926" s="78"/>
    </row>
    <row r="927" spans="12:12" ht="15.75" customHeight="1">
      <c r="L927" s="78"/>
    </row>
    <row r="928" spans="12:12" ht="15.75" customHeight="1">
      <c r="L928" s="78"/>
    </row>
    <row r="929" spans="12:12" ht="15.75" customHeight="1">
      <c r="L929" s="78"/>
    </row>
    <row r="930" spans="12:12" ht="15.75" customHeight="1">
      <c r="L930" s="78"/>
    </row>
    <row r="931" spans="12:12" ht="15.75" customHeight="1">
      <c r="L931" s="78"/>
    </row>
    <row r="932" spans="12:12" ht="15.75" customHeight="1">
      <c r="L932" s="78"/>
    </row>
    <row r="933" spans="12:12" ht="15.75" customHeight="1">
      <c r="L933" s="78"/>
    </row>
    <row r="934" spans="12:12" ht="15.75" customHeight="1">
      <c r="L934" s="78"/>
    </row>
    <row r="935" spans="12:12" ht="15.75" customHeight="1">
      <c r="L935" s="78"/>
    </row>
    <row r="936" spans="12:12" ht="15.75" customHeight="1">
      <c r="L936" s="78"/>
    </row>
    <row r="937" spans="12:12" ht="15.75" customHeight="1">
      <c r="L937" s="78"/>
    </row>
    <row r="938" spans="12:12" ht="15.75" customHeight="1">
      <c r="L938" s="78"/>
    </row>
    <row r="939" spans="12:12" ht="15.75" customHeight="1">
      <c r="L939" s="78"/>
    </row>
    <row r="940" spans="12:12" ht="15.75" customHeight="1">
      <c r="L940" s="78"/>
    </row>
    <row r="941" spans="12:12" ht="15.75" customHeight="1">
      <c r="L941" s="78"/>
    </row>
    <row r="942" spans="12:12" ht="15.75" customHeight="1">
      <c r="L942" s="78"/>
    </row>
    <row r="943" spans="12:12" ht="15.75" customHeight="1">
      <c r="L943" s="78"/>
    </row>
    <row r="944" spans="12:12" ht="15.75" customHeight="1">
      <c r="L944" s="78"/>
    </row>
    <row r="945" spans="12:12" ht="15.75" customHeight="1">
      <c r="L945" s="78"/>
    </row>
    <row r="946" spans="12:12" ht="15.75" customHeight="1">
      <c r="L946" s="78"/>
    </row>
    <row r="947" spans="12:12" ht="15.75" customHeight="1">
      <c r="L947" s="78"/>
    </row>
    <row r="948" spans="12:12" ht="15.75" customHeight="1">
      <c r="L948" s="78"/>
    </row>
    <row r="949" spans="12:12" ht="15.75" customHeight="1">
      <c r="L949" s="78"/>
    </row>
    <row r="950" spans="12:12" ht="15.75" customHeight="1">
      <c r="L950" s="78"/>
    </row>
    <row r="951" spans="12:12" ht="15.75" customHeight="1">
      <c r="L951" s="78"/>
    </row>
    <row r="952" spans="12:12" ht="15.75" customHeight="1">
      <c r="L952" s="78"/>
    </row>
    <row r="953" spans="12:12" ht="15.75" customHeight="1">
      <c r="L953" s="78"/>
    </row>
    <row r="954" spans="12:12" ht="15.75" customHeight="1">
      <c r="L954" s="78"/>
    </row>
    <row r="955" spans="12:12" ht="15.75" customHeight="1">
      <c r="L955" s="78"/>
    </row>
    <row r="956" spans="12:12" ht="15.75" customHeight="1">
      <c r="L956" s="78"/>
    </row>
    <row r="957" spans="12:12" ht="15.75" customHeight="1">
      <c r="L957" s="78"/>
    </row>
    <row r="958" spans="12:12" ht="15.75" customHeight="1">
      <c r="L958" s="78"/>
    </row>
    <row r="959" spans="12:12" ht="15.75" customHeight="1">
      <c r="L959" s="78"/>
    </row>
    <row r="960" spans="12:12" ht="15.75" customHeight="1">
      <c r="L960" s="78"/>
    </row>
    <row r="961" spans="12:12" ht="15.75" customHeight="1">
      <c r="L961" s="78"/>
    </row>
    <row r="962" spans="12:12" ht="15.75" customHeight="1">
      <c r="L962" s="78"/>
    </row>
    <row r="963" spans="12:12" ht="15.75" customHeight="1">
      <c r="L963" s="78"/>
    </row>
    <row r="964" spans="12:12" ht="15.75" customHeight="1">
      <c r="L964" s="78"/>
    </row>
    <row r="965" spans="12:12" ht="15.75" customHeight="1">
      <c r="L965" s="78"/>
    </row>
    <row r="966" spans="12:12" ht="15.75" customHeight="1">
      <c r="L966" s="78"/>
    </row>
    <row r="967" spans="12:12" ht="15.75" customHeight="1">
      <c r="L967" s="78"/>
    </row>
    <row r="968" spans="12:12" ht="15.75" customHeight="1">
      <c r="L968" s="78"/>
    </row>
    <row r="969" spans="12:12" ht="15.75" customHeight="1">
      <c r="L969" s="78"/>
    </row>
    <row r="970" spans="12:12" ht="15.75" customHeight="1">
      <c r="L970" s="78"/>
    </row>
    <row r="971" spans="12:12" ht="15.75" customHeight="1">
      <c r="L971" s="78"/>
    </row>
    <row r="972" spans="12:12" ht="15.75" customHeight="1">
      <c r="L972" s="78"/>
    </row>
    <row r="973" spans="12:12" ht="15.75" customHeight="1">
      <c r="L973" s="78"/>
    </row>
    <row r="974" spans="12:12" ht="15.75" customHeight="1">
      <c r="L974" s="78"/>
    </row>
    <row r="975" spans="12:12" ht="15.75" customHeight="1">
      <c r="L975" s="78"/>
    </row>
    <row r="976" spans="12:12" ht="15.75" customHeight="1">
      <c r="L976" s="78"/>
    </row>
    <row r="977" spans="12:12" ht="15.75" customHeight="1">
      <c r="L977" s="78"/>
    </row>
    <row r="978" spans="12:12" ht="15.75" customHeight="1">
      <c r="L978" s="78"/>
    </row>
    <row r="979" spans="12:12" ht="15.75" customHeight="1">
      <c r="L979" s="78"/>
    </row>
    <row r="980" spans="12:12" ht="15.75" customHeight="1">
      <c r="L980" s="78"/>
    </row>
    <row r="981" spans="12:12" ht="15.75" customHeight="1">
      <c r="L981" s="78"/>
    </row>
    <row r="982" spans="12:12" ht="15.75" customHeight="1">
      <c r="L982" s="78"/>
    </row>
    <row r="983" spans="12:12" ht="15.75" customHeight="1">
      <c r="L983" s="78"/>
    </row>
    <row r="984" spans="12:12" ht="15.75" customHeight="1">
      <c r="L984" s="78"/>
    </row>
    <row r="985" spans="12:12" ht="15.75" customHeight="1">
      <c r="L985" s="78"/>
    </row>
    <row r="986" spans="12:12" ht="15.75" customHeight="1">
      <c r="L986" s="78"/>
    </row>
    <row r="987" spans="12:12" ht="15.75" customHeight="1">
      <c r="L987" s="78"/>
    </row>
    <row r="988" spans="12:12" ht="15.75" customHeight="1">
      <c r="L988" s="78"/>
    </row>
    <row r="989" spans="12:12" ht="15.75" customHeight="1">
      <c r="L989" s="78"/>
    </row>
    <row r="990" spans="12:12" ht="15.75" customHeight="1">
      <c r="L990" s="78"/>
    </row>
    <row r="991" spans="12:12" ht="15.75" customHeight="1">
      <c r="L991" s="78"/>
    </row>
    <row r="992" spans="12:12" ht="15.75" customHeight="1">
      <c r="L992" s="78"/>
    </row>
    <row r="993" spans="12:12" ht="15.75" customHeight="1">
      <c r="L993" s="78"/>
    </row>
    <row r="994" spans="12:12" ht="15.75" customHeight="1">
      <c r="L994" s="78"/>
    </row>
    <row r="995" spans="12:12" ht="15.75" customHeight="1">
      <c r="L995" s="78"/>
    </row>
    <row r="996" spans="12:12" ht="15.75" customHeight="1">
      <c r="L996" s="78"/>
    </row>
    <row r="997" spans="12:12" ht="15.75" customHeight="1">
      <c r="L997" s="78"/>
    </row>
    <row r="998" spans="12:12" ht="15" customHeight="1">
      <c r="L998" s="78"/>
    </row>
    <row r="999" spans="12:12" ht="15" customHeight="1">
      <c r="L999" s="78"/>
    </row>
    <row r="1000" spans="12:12" ht="15" customHeight="1">
      <c r="L1000" s="78"/>
    </row>
    <row r="1001" spans="12:12" ht="15" customHeight="1">
      <c r="L1001" s="78"/>
    </row>
    <row r="1002" spans="12:12" ht="15" customHeight="1">
      <c r="L1002" s="78"/>
    </row>
    <row r="1003" spans="12:12" ht="15" customHeight="1">
      <c r="L1003" s="78"/>
    </row>
    <row r="1004" spans="12:12" ht="15" customHeight="1">
      <c r="L1004" s="78"/>
    </row>
    <row r="1005" spans="12:12" ht="15" customHeight="1">
      <c r="L1005" s="78"/>
    </row>
    <row r="1006" spans="12:12" ht="15" customHeight="1">
      <c r="L1006" s="78"/>
    </row>
    <row r="1007" spans="12:12" ht="15" customHeight="1">
      <c r="L1007" s="78"/>
    </row>
    <row r="1008" spans="12:12" ht="15" customHeight="1">
      <c r="L1008" s="78"/>
    </row>
    <row r="1009" spans="12:12" ht="15" customHeight="1">
      <c r="L1009" s="78"/>
    </row>
    <row r="1010" spans="12:12" ht="15" customHeight="1">
      <c r="L1010" s="78"/>
    </row>
    <row r="1011" spans="12:12" ht="15" customHeight="1">
      <c r="L1011" s="78"/>
    </row>
    <row r="1012" spans="12:12" ht="15" customHeight="1">
      <c r="L1012" s="78"/>
    </row>
    <row r="1013" spans="12:12" ht="15" customHeight="1">
      <c r="L1013" s="78"/>
    </row>
    <row r="1014" spans="12:12" ht="15" customHeight="1">
      <c r="L1014" s="78"/>
    </row>
    <row r="1015" spans="12:12" ht="15" customHeight="1">
      <c r="L1015" s="78"/>
    </row>
    <row r="1016" spans="12:12" ht="15" customHeight="1">
      <c r="L1016" s="78"/>
    </row>
    <row r="1017" spans="12:12" ht="15" customHeight="1">
      <c r="L1017" s="78"/>
    </row>
    <row r="1018" spans="12:12" ht="15" customHeight="1">
      <c r="L1018" s="78"/>
    </row>
    <row r="1019" spans="12:12" ht="15" customHeight="1">
      <c r="L1019" s="78"/>
    </row>
    <row r="1020" spans="12:12" ht="15" customHeight="1">
      <c r="L1020" s="78"/>
    </row>
    <row r="1021" spans="12:12" ht="15" customHeight="1">
      <c r="L1021" s="78"/>
    </row>
    <row r="1022" spans="12:12" ht="15" customHeight="1">
      <c r="L1022" s="78"/>
    </row>
    <row r="1023" spans="12:12" ht="15" customHeight="1">
      <c r="L1023" s="78"/>
    </row>
    <row r="1024" spans="12:12" ht="15" customHeight="1">
      <c r="L1024" s="78"/>
    </row>
    <row r="1025" spans="12:12" ht="15" customHeight="1">
      <c r="L1025" s="78"/>
    </row>
    <row r="1026" spans="12:12" ht="15" customHeight="1">
      <c r="L1026" s="78"/>
    </row>
    <row r="1027" spans="12:12" ht="15" customHeight="1">
      <c r="L1027" s="78"/>
    </row>
    <row r="1028" spans="12:12" ht="15" customHeight="1">
      <c r="L1028" s="78"/>
    </row>
    <row r="1029" spans="12:12" ht="15" customHeight="1">
      <c r="L1029" s="78"/>
    </row>
    <row r="1030" spans="12:12" ht="15" customHeight="1">
      <c r="L1030" s="78"/>
    </row>
    <row r="1031" spans="12:12" ht="15" customHeight="1">
      <c r="L1031" s="78"/>
    </row>
    <row r="1032" spans="12:12" ht="15" customHeight="1">
      <c r="L1032" s="78"/>
    </row>
    <row r="1033" spans="12:12" ht="15" customHeight="1">
      <c r="L1033" s="78"/>
    </row>
    <row r="1034" spans="12:12" ht="15" customHeight="1">
      <c r="L1034" s="78"/>
    </row>
    <row r="1035" spans="12:12" ht="15" customHeight="1">
      <c r="L1035" s="78"/>
    </row>
    <row r="1036" spans="12:12" ht="15" customHeight="1">
      <c r="L1036" s="78"/>
    </row>
    <row r="1037" spans="12:12" ht="15" customHeight="1">
      <c r="L1037" s="78"/>
    </row>
    <row r="1038" spans="12:12" ht="15" customHeight="1">
      <c r="L1038" s="78"/>
    </row>
    <row r="1039" spans="12:12" ht="15" customHeight="1">
      <c r="L1039" s="78"/>
    </row>
    <row r="1040" spans="12:12" ht="15" customHeight="1">
      <c r="L1040" s="78"/>
    </row>
    <row r="1041" spans="12:12" ht="15" customHeight="1">
      <c r="L1041" s="78"/>
    </row>
    <row r="1042" spans="12:12" ht="15" customHeight="1">
      <c r="L1042" s="78"/>
    </row>
    <row r="1043" spans="12:12" ht="15" customHeight="1">
      <c r="L1043" s="78"/>
    </row>
    <row r="1044" spans="12:12" ht="15" customHeight="1">
      <c r="L1044" s="78"/>
    </row>
    <row r="1045" spans="12:12" ht="15" customHeight="1">
      <c r="L1045" s="78"/>
    </row>
    <row r="1046" spans="12:12" ht="15" customHeight="1">
      <c r="L1046" s="78"/>
    </row>
    <row r="1047" spans="12:12" ht="15" customHeight="1">
      <c r="L1047" s="78"/>
    </row>
    <row r="1048" spans="12:12" ht="15" customHeight="1">
      <c r="L1048" s="78"/>
    </row>
    <row r="1049" spans="12:12" ht="15" customHeight="1">
      <c r="L1049" s="78"/>
    </row>
    <row r="1050" spans="12:12" ht="15" customHeight="1">
      <c r="L1050" s="78"/>
    </row>
    <row r="1051" spans="12:12" ht="15" customHeight="1">
      <c r="L1051" s="78"/>
    </row>
    <row r="1052" spans="12:12" ht="15" customHeight="1">
      <c r="L1052" s="78"/>
    </row>
    <row r="1053" spans="12:12" ht="15" customHeight="1">
      <c r="L1053" s="78"/>
    </row>
    <row r="1054" spans="12:12" ht="15" customHeight="1">
      <c r="L1054" s="78"/>
    </row>
    <row r="1055" spans="12:12" ht="15" customHeight="1">
      <c r="L1055" s="78"/>
    </row>
    <row r="1056" spans="12:12" ht="15" customHeight="1">
      <c r="L1056" s="78"/>
    </row>
    <row r="1057" spans="12:12" ht="15" customHeight="1">
      <c r="L1057" s="78"/>
    </row>
    <row r="1058" spans="12:12" ht="15" customHeight="1">
      <c r="L1058" s="78"/>
    </row>
    <row r="1059" spans="12:12" ht="15" customHeight="1">
      <c r="L1059" s="78"/>
    </row>
    <row r="1060" spans="12:12" ht="15" customHeight="1">
      <c r="L1060" s="78"/>
    </row>
    <row r="1061" spans="12:12" ht="15" customHeight="1">
      <c r="L1061" s="78"/>
    </row>
    <row r="1062" spans="12:12" ht="15" customHeight="1">
      <c r="L1062" s="78"/>
    </row>
    <row r="1063" spans="12:12" ht="15" customHeight="1">
      <c r="L1063" s="78"/>
    </row>
    <row r="1064" spans="12:12" ht="15" customHeight="1">
      <c r="L1064" s="78"/>
    </row>
    <row r="1065" spans="12:12" ht="15" customHeight="1">
      <c r="L1065" s="78"/>
    </row>
    <row r="1066" spans="12:12" ht="15" customHeight="1">
      <c r="L1066" s="78"/>
    </row>
    <row r="1067" spans="12:12" ht="15" customHeight="1">
      <c r="L1067" s="78"/>
    </row>
    <row r="1068" spans="12:12" ht="15" customHeight="1">
      <c r="L1068" s="78"/>
    </row>
    <row r="1069" spans="12:12" ht="15" customHeight="1">
      <c r="L1069" s="78"/>
    </row>
    <row r="1070" spans="12:12" ht="15" customHeight="1">
      <c r="L1070" s="78"/>
    </row>
    <row r="1071" spans="12:12" ht="15" customHeight="1">
      <c r="L1071" s="78"/>
    </row>
    <row r="1072" spans="12:12" ht="15" customHeight="1">
      <c r="L1072" s="78"/>
    </row>
    <row r="1073" spans="12:12" ht="15" customHeight="1">
      <c r="L1073" s="78"/>
    </row>
    <row r="1074" spans="12:12" ht="15" customHeight="1">
      <c r="L1074" s="78"/>
    </row>
    <row r="1075" spans="12:12" ht="15" customHeight="1">
      <c r="L1075" s="78"/>
    </row>
    <row r="1076" spans="12:12" ht="15" customHeight="1">
      <c r="L1076" s="78"/>
    </row>
    <row r="1077" spans="12:12" ht="15" customHeight="1">
      <c r="L1077" s="78"/>
    </row>
    <row r="1078" spans="12:12" ht="15" customHeight="1">
      <c r="L1078" s="78"/>
    </row>
    <row r="1079" spans="12:12" ht="15" customHeight="1">
      <c r="L1079" s="78"/>
    </row>
    <row r="1080" spans="12:12" ht="15" customHeight="1">
      <c r="L1080" s="78"/>
    </row>
    <row r="1081" spans="12:12" ht="15" customHeight="1">
      <c r="L1081" s="78"/>
    </row>
    <row r="1082" spans="12:12" ht="15" customHeight="1">
      <c r="L1082" s="78"/>
    </row>
    <row r="1083" spans="12:12" ht="15" customHeight="1">
      <c r="L1083" s="78"/>
    </row>
    <row r="1084" spans="12:12" ht="15" customHeight="1">
      <c r="L1084" s="78"/>
    </row>
    <row r="1085" spans="12:12" ht="15" customHeight="1">
      <c r="L1085" s="78"/>
    </row>
    <row r="1086" spans="12:12" ht="15" customHeight="1">
      <c r="L1086" s="78"/>
    </row>
    <row r="1087" spans="12:12" ht="15" customHeight="1">
      <c r="L1087" s="78"/>
    </row>
    <row r="1088" spans="12:12" ht="15" customHeight="1">
      <c r="L1088" s="78"/>
    </row>
    <row r="1089" spans="12:12" ht="15" customHeight="1">
      <c r="L1089" s="78"/>
    </row>
    <row r="1090" spans="12:12" ht="15" customHeight="1">
      <c r="L1090" s="78"/>
    </row>
    <row r="1091" spans="12:12" ht="15" customHeight="1">
      <c r="L1091" s="78"/>
    </row>
    <row r="1092" spans="12:12" ht="15" customHeight="1">
      <c r="L1092" s="78"/>
    </row>
    <row r="1093" spans="12:12" ht="15" customHeight="1">
      <c r="L1093" s="78"/>
    </row>
    <row r="1094" spans="12:12" ht="15" customHeight="1">
      <c r="L1094" s="78"/>
    </row>
    <row r="1095" spans="12:12" ht="15" customHeight="1">
      <c r="L1095" s="78"/>
    </row>
    <row r="1096" spans="12:12" ht="15" customHeight="1">
      <c r="L1096" s="78"/>
    </row>
    <row r="1097" spans="12:12" ht="15" customHeight="1">
      <c r="L1097" s="78"/>
    </row>
    <row r="1098" spans="12:12" ht="15" customHeight="1">
      <c r="L1098" s="78"/>
    </row>
    <row r="1099" spans="12:12" ht="15" customHeight="1">
      <c r="L1099" s="78"/>
    </row>
    <row r="1100" spans="12:12" ht="15" customHeight="1">
      <c r="L1100" s="78"/>
    </row>
    <row r="1101" spans="12:12" ht="15" customHeight="1">
      <c r="L1101" s="78"/>
    </row>
    <row r="1102" spans="12:12" ht="15" customHeight="1">
      <c r="L1102" s="78"/>
    </row>
    <row r="1103" spans="12:12" ht="15" customHeight="1">
      <c r="L1103" s="78"/>
    </row>
    <row r="1104" spans="12:12" ht="15" customHeight="1">
      <c r="L1104" s="78"/>
    </row>
    <row r="1105" spans="12:12" ht="15" customHeight="1">
      <c r="L1105" s="78"/>
    </row>
    <row r="1106" spans="12:12" ht="15" customHeight="1">
      <c r="L1106" s="78"/>
    </row>
    <row r="1107" spans="12:12" ht="15" customHeight="1">
      <c r="L1107" s="78"/>
    </row>
    <row r="1108" spans="12:12" ht="15" customHeight="1">
      <c r="L1108" s="78"/>
    </row>
    <row r="1109" spans="12:12" ht="15" customHeight="1">
      <c r="L1109" s="78"/>
    </row>
    <row r="1110" spans="12:12" ht="15" customHeight="1">
      <c r="L1110" s="78"/>
    </row>
    <row r="1111" spans="12:12" ht="15" customHeight="1">
      <c r="L1111" s="78"/>
    </row>
    <row r="1112" spans="12:12" ht="15" customHeight="1">
      <c r="L1112" s="78"/>
    </row>
    <row r="1113" spans="12:12" ht="15" customHeight="1">
      <c r="L1113" s="78"/>
    </row>
    <row r="1114" spans="12:12" ht="15" customHeight="1">
      <c r="L1114" s="78"/>
    </row>
    <row r="1115" spans="12:12" ht="15" customHeight="1">
      <c r="L1115" s="78"/>
    </row>
    <row r="1116" spans="12:12" ht="15" customHeight="1">
      <c r="L1116" s="78"/>
    </row>
    <row r="1117" spans="12:12" ht="15" customHeight="1">
      <c r="L1117" s="78"/>
    </row>
    <row r="1118" spans="12:12" ht="15" customHeight="1">
      <c r="L1118" s="78"/>
    </row>
    <row r="1119" spans="12:12" ht="15" customHeight="1">
      <c r="L1119" s="78"/>
    </row>
    <row r="1120" spans="12:12" ht="15" customHeight="1">
      <c r="L1120" s="78"/>
    </row>
    <row r="1121" spans="12:12" ht="15" customHeight="1">
      <c r="L1121" s="78"/>
    </row>
    <row r="1122" spans="12:12" ht="15" customHeight="1">
      <c r="L1122" s="78"/>
    </row>
    <row r="1123" spans="12:12" ht="15" customHeight="1">
      <c r="L1123" s="78"/>
    </row>
    <row r="1124" spans="12:12" ht="15" customHeight="1">
      <c r="L1124" s="78"/>
    </row>
    <row r="1125" spans="12:12" ht="15" customHeight="1">
      <c r="L1125" s="78"/>
    </row>
    <row r="1126" spans="12:12" ht="15" customHeight="1">
      <c r="L1126" s="78"/>
    </row>
    <row r="1127" spans="12:12" ht="15" customHeight="1">
      <c r="L1127" s="78"/>
    </row>
    <row r="1128" spans="12:12" ht="15" customHeight="1">
      <c r="L1128" s="78"/>
    </row>
    <row r="1129" spans="12:12" ht="15" customHeight="1">
      <c r="L1129" s="78"/>
    </row>
    <row r="1130" spans="12:12" ht="15" customHeight="1">
      <c r="L1130" s="78"/>
    </row>
    <row r="1131" spans="12:12" ht="15" customHeight="1">
      <c r="L1131" s="78"/>
    </row>
    <row r="1132" spans="12:12" ht="15" customHeight="1">
      <c r="L1132" s="78"/>
    </row>
    <row r="1133" spans="12:12" ht="15" customHeight="1">
      <c r="L1133" s="78"/>
    </row>
    <row r="1134" spans="12:12" ht="15" customHeight="1">
      <c r="L1134" s="78"/>
    </row>
    <row r="1135" spans="12:12" ht="15" customHeight="1">
      <c r="L1135" s="78"/>
    </row>
    <row r="1136" spans="12:12" ht="15" customHeight="1">
      <c r="L1136" s="78"/>
    </row>
    <row r="1137" spans="12:12" ht="15" customHeight="1">
      <c r="L1137" s="78"/>
    </row>
    <row r="1138" spans="12:12" ht="15" customHeight="1">
      <c r="L1138" s="78"/>
    </row>
    <row r="1139" spans="12:12" ht="15" customHeight="1">
      <c r="L1139" s="78"/>
    </row>
    <row r="1140" spans="12:12" ht="15" customHeight="1">
      <c r="L1140" s="78"/>
    </row>
    <row r="1141" spans="12:12" ht="15" customHeight="1">
      <c r="L1141" s="78"/>
    </row>
    <row r="1142" spans="12:12" ht="15" customHeight="1">
      <c r="L1142" s="78"/>
    </row>
    <row r="1143" spans="12:12" ht="15" customHeight="1">
      <c r="L1143" s="78"/>
    </row>
    <row r="1144" spans="12:12" ht="15" customHeight="1">
      <c r="L1144" s="78"/>
    </row>
    <row r="1145" spans="12:12" ht="15" customHeight="1">
      <c r="L1145" s="78"/>
    </row>
    <row r="1146" spans="12:12" ht="15" customHeight="1">
      <c r="L1146" s="78"/>
    </row>
    <row r="1147" spans="12:12" ht="15" customHeight="1">
      <c r="L1147" s="78"/>
    </row>
    <row r="1148" spans="12:12" ht="15" customHeight="1">
      <c r="L1148" s="78"/>
    </row>
    <row r="1149" spans="12:12" ht="15" customHeight="1">
      <c r="L1149" s="78"/>
    </row>
    <row r="1150" spans="12:12" ht="15" customHeight="1">
      <c r="L1150" s="78"/>
    </row>
    <row r="1151" spans="12:12" ht="15" customHeight="1">
      <c r="L1151" s="78"/>
    </row>
    <row r="1152" spans="12:12" ht="15" customHeight="1">
      <c r="L1152" s="78"/>
    </row>
    <row r="1153" spans="12:12" ht="15" customHeight="1">
      <c r="L1153" s="78"/>
    </row>
    <row r="1154" spans="12:12" ht="15" customHeight="1">
      <c r="L1154" s="78"/>
    </row>
    <row r="1155" spans="12:12" ht="15" customHeight="1">
      <c r="L1155" s="78"/>
    </row>
    <row r="1156" spans="12:12" ht="15" customHeight="1">
      <c r="L1156" s="78"/>
    </row>
    <row r="1157" spans="12:12" ht="15" customHeight="1">
      <c r="L1157" s="78"/>
    </row>
    <row r="1158" spans="12:12" ht="15" customHeight="1">
      <c r="L1158" s="78"/>
    </row>
    <row r="1159" spans="12:12" ht="15" customHeight="1">
      <c r="L1159" s="78"/>
    </row>
    <row r="1160" spans="12:12" ht="15" customHeight="1">
      <c r="L1160" s="78"/>
    </row>
    <row r="1161" spans="12:12" ht="15" customHeight="1">
      <c r="L1161" s="78"/>
    </row>
    <row r="1162" spans="12:12" ht="15" customHeight="1">
      <c r="L1162" s="78"/>
    </row>
    <row r="1163" spans="12:12" ht="15" customHeight="1">
      <c r="L1163" s="78"/>
    </row>
    <row r="1164" spans="12:12" ht="15" customHeight="1">
      <c r="L1164" s="78"/>
    </row>
    <row r="1165" spans="12:12" ht="15" customHeight="1">
      <c r="L1165" s="78"/>
    </row>
    <row r="1166" spans="12:12" ht="15" customHeight="1">
      <c r="L1166" s="78"/>
    </row>
    <row r="1167" spans="12:12" ht="15" customHeight="1">
      <c r="L1167" s="78"/>
    </row>
    <row r="1168" spans="12:12" ht="15" customHeight="1">
      <c r="L1168" s="78"/>
    </row>
    <row r="1169" spans="12:12" ht="15" customHeight="1">
      <c r="L1169" s="78"/>
    </row>
    <row r="1170" spans="12:12" ht="15" customHeight="1">
      <c r="L1170" s="78"/>
    </row>
    <row r="1171" spans="12:12" ht="15" customHeight="1">
      <c r="L1171" s="78"/>
    </row>
    <row r="1172" spans="12:12" ht="15" customHeight="1">
      <c r="L1172" s="78"/>
    </row>
    <row r="1173" spans="12:12" ht="15" customHeight="1">
      <c r="L1173" s="78"/>
    </row>
    <row r="1174" spans="12:12" ht="15" customHeight="1">
      <c r="L1174" s="78"/>
    </row>
    <row r="1175" spans="12:12" ht="15" customHeight="1">
      <c r="L1175" s="78"/>
    </row>
    <row r="1176" spans="12:12" ht="15" customHeight="1">
      <c r="L1176" s="78"/>
    </row>
    <row r="1177" spans="12:12" ht="15" customHeight="1">
      <c r="L1177" s="78"/>
    </row>
    <row r="1178" spans="12:12" ht="15" customHeight="1">
      <c r="L1178" s="78"/>
    </row>
    <row r="1179" spans="12:12" ht="15" customHeight="1">
      <c r="L1179" s="78"/>
    </row>
    <row r="1180" spans="12:12" ht="15" customHeight="1">
      <c r="L1180" s="78"/>
    </row>
    <row r="1181" spans="12:12" ht="15" customHeight="1">
      <c r="L1181" s="78"/>
    </row>
    <row r="1182" spans="12:12" ht="15" customHeight="1">
      <c r="L1182" s="78"/>
    </row>
    <row r="1183" spans="12:12" ht="15" customHeight="1">
      <c r="L1183" s="78"/>
    </row>
    <row r="1184" spans="12:12" ht="15" customHeight="1">
      <c r="L1184" s="78"/>
    </row>
    <row r="1185" spans="12:12" ht="15" customHeight="1">
      <c r="L1185" s="78"/>
    </row>
    <row r="1186" spans="12:12" ht="15" customHeight="1">
      <c r="L1186" s="78"/>
    </row>
    <row r="1187" spans="12:12" ht="15" customHeight="1">
      <c r="L1187" s="78"/>
    </row>
    <row r="1188" spans="12:12" ht="15" customHeight="1">
      <c r="L1188" s="78"/>
    </row>
    <row r="1189" spans="12:12" ht="15" customHeight="1">
      <c r="L1189" s="78"/>
    </row>
    <row r="1190" spans="12:12" ht="15" customHeight="1">
      <c r="L1190" s="78"/>
    </row>
    <row r="1191" spans="12:12" ht="15" customHeight="1">
      <c r="L1191" s="78"/>
    </row>
    <row r="1192" spans="12:12" ht="15" customHeight="1">
      <c r="L1192" s="78"/>
    </row>
    <row r="1193" spans="12:12" ht="15" customHeight="1">
      <c r="L1193" s="78"/>
    </row>
    <row r="1194" spans="12:12" ht="15" customHeight="1">
      <c r="L1194" s="78"/>
    </row>
    <row r="1195" spans="12:12" ht="15" customHeight="1">
      <c r="L1195" s="78"/>
    </row>
    <row r="1196" spans="12:12" ht="15" customHeight="1">
      <c r="L1196" s="78"/>
    </row>
    <row r="1197" spans="12:12" ht="15" customHeight="1">
      <c r="L1197" s="78"/>
    </row>
    <row r="1198" spans="12:12" ht="15" customHeight="1">
      <c r="L1198" s="78"/>
    </row>
    <row r="1199" spans="12:12" ht="15" customHeight="1">
      <c r="L1199" s="78"/>
    </row>
    <row r="1200" spans="12:12" ht="15" customHeight="1">
      <c r="L1200" s="78"/>
    </row>
    <row r="1201" spans="12:12" ht="15" customHeight="1">
      <c r="L1201" s="78"/>
    </row>
    <row r="1202" spans="12:12" ht="15" customHeight="1">
      <c r="L1202" s="78"/>
    </row>
    <row r="1203" spans="12:12" ht="15" customHeight="1">
      <c r="L1203" s="78"/>
    </row>
    <row r="1204" spans="12:12" ht="15" customHeight="1">
      <c r="L1204" s="78"/>
    </row>
    <row r="1205" spans="12:12" ht="15" customHeight="1">
      <c r="L1205" s="78"/>
    </row>
    <row r="1206" spans="12:12" ht="15" customHeight="1">
      <c r="L1206" s="78"/>
    </row>
    <row r="1207" spans="12:12" ht="15" customHeight="1">
      <c r="L1207" s="78"/>
    </row>
    <row r="1208" spans="12:12" ht="15" customHeight="1">
      <c r="L1208" s="78"/>
    </row>
    <row r="1209" spans="12:12" ht="15" customHeight="1">
      <c r="L1209" s="78"/>
    </row>
    <row r="1210" spans="12:12" ht="15" customHeight="1">
      <c r="L1210" s="78"/>
    </row>
    <row r="1211" spans="12:12" ht="15" customHeight="1">
      <c r="L1211" s="78"/>
    </row>
    <row r="1212" spans="12:12" ht="15" customHeight="1">
      <c r="L1212" s="78"/>
    </row>
    <row r="1213" spans="12:12" ht="15" customHeight="1">
      <c r="L1213" s="78"/>
    </row>
    <row r="1214" spans="12:12" ht="15" customHeight="1">
      <c r="L1214" s="78"/>
    </row>
    <row r="1215" spans="12:12" ht="15" customHeight="1">
      <c r="L1215" s="78"/>
    </row>
    <row r="1216" spans="12:12" ht="15" customHeight="1">
      <c r="L1216" s="78"/>
    </row>
    <row r="1217" spans="12:12" ht="15" customHeight="1">
      <c r="L1217" s="78"/>
    </row>
    <row r="1218" spans="12:12" ht="15" customHeight="1">
      <c r="L1218" s="78"/>
    </row>
    <row r="1219" spans="12:12" ht="15" customHeight="1">
      <c r="L1219" s="78"/>
    </row>
    <row r="1220" spans="12:12" ht="15" customHeight="1">
      <c r="L1220" s="78"/>
    </row>
    <row r="1221" spans="12:12" ht="15" customHeight="1">
      <c r="L1221" s="78"/>
    </row>
    <row r="1222" spans="12:12" ht="15" customHeight="1">
      <c r="L1222" s="78"/>
    </row>
    <row r="1223" spans="12:12" ht="15" customHeight="1">
      <c r="L1223" s="78"/>
    </row>
    <row r="1224" spans="12:12" ht="15" customHeight="1">
      <c r="L1224" s="78"/>
    </row>
    <row r="1225" spans="12:12" ht="15" customHeight="1">
      <c r="L1225" s="78"/>
    </row>
    <row r="1226" spans="12:12" ht="15" customHeight="1">
      <c r="L1226" s="78"/>
    </row>
    <row r="1227" spans="12:12" ht="15" customHeight="1">
      <c r="L1227" s="78"/>
    </row>
    <row r="1228" spans="12:12" ht="15" customHeight="1">
      <c r="L1228" s="78"/>
    </row>
    <row r="1229" spans="12:12" ht="15" customHeight="1">
      <c r="L1229" s="78"/>
    </row>
    <row r="1230" spans="12:12" ht="15" customHeight="1">
      <c r="L1230" s="78"/>
    </row>
    <row r="1231" spans="12:12" ht="15" customHeight="1">
      <c r="L1231" s="78"/>
    </row>
    <row r="1232" spans="12:12" ht="15" customHeight="1">
      <c r="L1232" s="78"/>
    </row>
    <row r="1233" spans="12:12" ht="15" customHeight="1">
      <c r="L1233" s="78"/>
    </row>
    <row r="1234" spans="12:12" ht="15" customHeight="1">
      <c r="L1234" s="78"/>
    </row>
    <row r="1235" spans="12:12" ht="15" customHeight="1">
      <c r="L1235" s="78"/>
    </row>
    <row r="1236" spans="12:12" ht="15" customHeight="1">
      <c r="L1236" s="78"/>
    </row>
    <row r="1237" spans="12:12" ht="15" customHeight="1">
      <c r="L1237" s="78"/>
    </row>
    <row r="1238" spans="12:12" ht="15" customHeight="1">
      <c r="L1238" s="78"/>
    </row>
    <row r="1239" spans="12:12" ht="15" customHeight="1">
      <c r="L1239" s="78"/>
    </row>
    <row r="1240" spans="12:12" ht="15" customHeight="1">
      <c r="L1240" s="78"/>
    </row>
    <row r="1241" spans="12:12" ht="15" customHeight="1">
      <c r="L1241" s="78"/>
    </row>
    <row r="1242" spans="12:12" ht="15" customHeight="1">
      <c r="L1242" s="78"/>
    </row>
    <row r="1243" spans="12:12" ht="15" customHeight="1">
      <c r="L1243" s="78"/>
    </row>
    <row r="1244" spans="12:12" ht="15" customHeight="1">
      <c r="L1244" s="78"/>
    </row>
    <row r="1245" spans="12:12" ht="15" customHeight="1">
      <c r="L1245" s="78"/>
    </row>
    <row r="1246" spans="12:12" ht="15" customHeight="1">
      <c r="L1246" s="78"/>
    </row>
    <row r="1247" spans="12:12" ht="15" customHeight="1">
      <c r="L1247" s="78"/>
    </row>
    <row r="1248" spans="12:12" ht="15" customHeight="1">
      <c r="L1248" s="78"/>
    </row>
    <row r="1249" spans="12:12" ht="15" customHeight="1">
      <c r="L1249" s="78"/>
    </row>
    <row r="1250" spans="12:12" ht="15" customHeight="1">
      <c r="L1250" s="78"/>
    </row>
    <row r="1251" spans="12:12" ht="15" customHeight="1">
      <c r="L1251" s="78"/>
    </row>
    <row r="1252" spans="12:12" ht="15" customHeight="1">
      <c r="L1252" s="78"/>
    </row>
    <row r="1253" spans="12:12" ht="15" customHeight="1">
      <c r="L1253" s="78"/>
    </row>
    <row r="1254" spans="12:12" ht="15" customHeight="1">
      <c r="L1254" s="78"/>
    </row>
    <row r="1255" spans="12:12" ht="15" customHeight="1">
      <c r="L1255" s="78"/>
    </row>
    <row r="1256" spans="12:12" ht="15" customHeight="1">
      <c r="L1256" s="78"/>
    </row>
    <row r="1257" spans="12:12" ht="15" customHeight="1">
      <c r="L1257" s="78"/>
    </row>
    <row r="1258" spans="12:12" ht="15" customHeight="1">
      <c r="L1258" s="78"/>
    </row>
    <row r="1259" spans="12:12" ht="15" customHeight="1">
      <c r="L1259" s="78"/>
    </row>
    <row r="1260" spans="12:12" ht="15" customHeight="1">
      <c r="L1260" s="78"/>
    </row>
    <row r="1261" spans="12:12" ht="15" customHeight="1">
      <c r="L1261" s="78"/>
    </row>
    <row r="1262" spans="12:12" ht="15" customHeight="1">
      <c r="L1262" s="78"/>
    </row>
    <row r="1263" spans="12:12" ht="15" customHeight="1">
      <c r="L1263" s="78"/>
    </row>
    <row r="1264" spans="12:12" ht="15" customHeight="1">
      <c r="L1264" s="78"/>
    </row>
    <row r="1265" spans="12:12" ht="15" customHeight="1">
      <c r="L1265" s="78"/>
    </row>
    <row r="1266" spans="12:12" ht="15" customHeight="1">
      <c r="L1266" s="78"/>
    </row>
    <row r="1267" spans="12:12" ht="15" customHeight="1">
      <c r="L1267" s="78"/>
    </row>
    <row r="1268" spans="12:12" ht="15" customHeight="1">
      <c r="L1268" s="78"/>
    </row>
    <row r="1269" spans="12:12" ht="15" customHeight="1">
      <c r="L1269" s="78"/>
    </row>
    <row r="1270" spans="12:12" ht="15" customHeight="1">
      <c r="L1270" s="78"/>
    </row>
    <row r="1271" spans="12:12" ht="15" customHeight="1">
      <c r="L1271" s="78"/>
    </row>
    <row r="1272" spans="12:12" ht="15" customHeight="1">
      <c r="L1272" s="78"/>
    </row>
    <row r="1273" spans="12:12" ht="15" customHeight="1">
      <c r="L1273" s="78"/>
    </row>
    <row r="1274" spans="12:12" ht="15" customHeight="1">
      <c r="L1274" s="78"/>
    </row>
    <row r="1275" spans="12:12" ht="15" customHeight="1">
      <c r="L1275" s="78"/>
    </row>
    <row r="1276" spans="12:12" ht="15" customHeight="1">
      <c r="L1276" s="78"/>
    </row>
    <row r="1277" spans="12:12" ht="15" customHeight="1">
      <c r="L1277" s="78"/>
    </row>
    <row r="1278" spans="12:12" ht="15" customHeight="1">
      <c r="L1278" s="78"/>
    </row>
    <row r="1279" spans="12:12" ht="15" customHeight="1">
      <c r="L1279" s="78"/>
    </row>
    <row r="1280" spans="12:12" ht="15" customHeight="1">
      <c r="L1280" s="78"/>
    </row>
    <row r="1281" spans="12:12" ht="15" customHeight="1">
      <c r="L1281" s="78"/>
    </row>
    <row r="1282" spans="12:12" ht="15" customHeight="1">
      <c r="L1282" s="78"/>
    </row>
    <row r="1283" spans="12:12" ht="15" customHeight="1">
      <c r="L1283" s="78"/>
    </row>
    <row r="1284" spans="12:12" ht="15" customHeight="1">
      <c r="L1284" s="78"/>
    </row>
    <row r="1285" spans="12:12" ht="15" customHeight="1">
      <c r="L1285" s="78"/>
    </row>
    <row r="1286" spans="12:12" ht="15" customHeight="1">
      <c r="L1286" s="78"/>
    </row>
    <row r="1287" spans="12:12" ht="15" customHeight="1">
      <c r="L1287" s="78"/>
    </row>
    <row r="1288" spans="12:12" ht="15" customHeight="1">
      <c r="L1288" s="78"/>
    </row>
    <row r="1289" spans="12:12" ht="15" customHeight="1">
      <c r="L1289" s="78"/>
    </row>
    <row r="1290" spans="12:12" ht="15" customHeight="1">
      <c r="L1290" s="78"/>
    </row>
    <row r="1291" spans="12:12" ht="15" customHeight="1">
      <c r="L1291" s="78"/>
    </row>
    <row r="1292" spans="12:12" ht="15" customHeight="1">
      <c r="L1292" s="78"/>
    </row>
    <row r="1293" spans="12:12" ht="15" customHeight="1">
      <c r="L1293" s="78"/>
    </row>
    <row r="1294" spans="12:12" ht="15" customHeight="1">
      <c r="L1294" s="78"/>
    </row>
    <row r="1295" spans="12:12" ht="15" customHeight="1">
      <c r="L1295" s="78"/>
    </row>
    <row r="1296" spans="12:12" ht="15" customHeight="1">
      <c r="L1296" s="78"/>
    </row>
    <row r="1297" spans="12:12" ht="15" customHeight="1">
      <c r="L1297" s="78"/>
    </row>
    <row r="1298" spans="12:12" ht="15" customHeight="1">
      <c r="L1298" s="78"/>
    </row>
    <row r="1299" spans="12:12" ht="15" customHeight="1">
      <c r="L1299" s="78"/>
    </row>
    <row r="1300" spans="12:12" ht="15" customHeight="1">
      <c r="L1300" s="78"/>
    </row>
    <row r="1301" spans="12:12" ht="15" customHeight="1">
      <c r="L1301" s="78"/>
    </row>
    <row r="1302" spans="12:12" ht="15" customHeight="1">
      <c r="L1302" s="78"/>
    </row>
    <row r="1303" spans="12:12" ht="15" customHeight="1">
      <c r="L1303" s="78"/>
    </row>
    <row r="1304" spans="12:12" ht="15" customHeight="1">
      <c r="L1304" s="78"/>
    </row>
    <row r="1305" spans="12:12" ht="15" customHeight="1">
      <c r="L1305" s="78"/>
    </row>
    <row r="1306" spans="12:12" ht="15" customHeight="1">
      <c r="L1306" s="78"/>
    </row>
    <row r="1307" spans="12:12" ht="15" customHeight="1">
      <c r="L1307" s="78"/>
    </row>
    <row r="1308" spans="12:12" ht="15" customHeight="1">
      <c r="L1308" s="78"/>
    </row>
    <row r="1309" spans="12:12" ht="15" customHeight="1">
      <c r="L1309" s="78"/>
    </row>
    <row r="1310" spans="12:12" ht="15" customHeight="1">
      <c r="L1310" s="78"/>
    </row>
    <row r="1311" spans="12:12" ht="15" customHeight="1">
      <c r="L1311" s="78"/>
    </row>
    <row r="1312" spans="12:12" ht="15" customHeight="1">
      <c r="L1312" s="78"/>
    </row>
    <row r="1313" spans="12:12" ht="15" customHeight="1">
      <c r="L1313" s="78"/>
    </row>
    <row r="1314" spans="12:12" ht="15" customHeight="1">
      <c r="L1314" s="78"/>
    </row>
    <row r="1315" spans="12:12" ht="15" customHeight="1">
      <c r="L1315" s="78"/>
    </row>
    <row r="1316" spans="12:12" ht="15" customHeight="1">
      <c r="L1316" s="78"/>
    </row>
    <row r="1317" spans="12:12" ht="15" customHeight="1">
      <c r="L1317" s="78"/>
    </row>
    <row r="1318" spans="12:12" ht="15" customHeight="1">
      <c r="L1318" s="78"/>
    </row>
    <row r="1319" spans="12:12" ht="15" customHeight="1">
      <c r="L1319" s="78"/>
    </row>
    <row r="1320" spans="12:12" ht="15" customHeight="1">
      <c r="L1320" s="78"/>
    </row>
    <row r="1321" spans="12:12" ht="15" customHeight="1">
      <c r="L1321" s="78"/>
    </row>
    <row r="1322" spans="12:12" ht="15" customHeight="1">
      <c r="L1322" s="78"/>
    </row>
    <row r="1323" spans="12:12" ht="15" customHeight="1">
      <c r="L1323" s="78"/>
    </row>
    <row r="1324" spans="12:12" ht="15" customHeight="1">
      <c r="L1324" s="78"/>
    </row>
    <row r="1325" spans="12:12" ht="15" customHeight="1">
      <c r="L1325" s="78"/>
    </row>
    <row r="1326" spans="12:12" ht="15" customHeight="1">
      <c r="L1326" s="78"/>
    </row>
    <row r="1327" spans="12:12" ht="15" customHeight="1">
      <c r="L1327" s="78"/>
    </row>
    <row r="1328" spans="12:12" ht="15" customHeight="1">
      <c r="L1328" s="78"/>
    </row>
    <row r="1329" spans="12:12" ht="15" customHeight="1">
      <c r="L1329" s="78"/>
    </row>
    <row r="1330" spans="12:12" ht="15" customHeight="1">
      <c r="L1330" s="78"/>
    </row>
    <row r="1331" spans="12:12" ht="15" customHeight="1">
      <c r="L1331" s="78"/>
    </row>
    <row r="1332" spans="12:12" ht="15" customHeight="1">
      <c r="L1332" s="78"/>
    </row>
    <row r="1333" spans="12:12" ht="15" customHeight="1">
      <c r="L1333" s="78"/>
    </row>
    <row r="1334" spans="12:12" ht="15" customHeight="1">
      <c r="L1334" s="78"/>
    </row>
    <row r="1335" spans="12:12" ht="15" customHeight="1">
      <c r="L1335" s="78"/>
    </row>
    <row r="1336" spans="12:12" ht="15" customHeight="1">
      <c r="L1336" s="78"/>
    </row>
    <row r="1337" spans="12:12" ht="15" customHeight="1">
      <c r="L1337" s="78"/>
    </row>
    <row r="1338" spans="12:12" ht="15" customHeight="1">
      <c r="L1338" s="78"/>
    </row>
    <row r="1339" spans="12:12" ht="15" customHeight="1">
      <c r="L1339" s="78"/>
    </row>
    <row r="1340" spans="12:12" ht="15" customHeight="1">
      <c r="L1340" s="78"/>
    </row>
    <row r="1341" spans="12:12" ht="15" customHeight="1">
      <c r="L1341" s="78"/>
    </row>
    <row r="1342" spans="12:12" ht="15" customHeight="1">
      <c r="L1342" s="78"/>
    </row>
    <row r="1343" spans="12:12" ht="15" customHeight="1">
      <c r="L1343" s="78"/>
    </row>
    <row r="1344" spans="12:12" ht="15" customHeight="1">
      <c r="L1344" s="78"/>
    </row>
    <row r="1345" spans="12:12" ht="15" customHeight="1">
      <c r="L1345" s="78"/>
    </row>
    <row r="1346" spans="12:12" ht="15" customHeight="1">
      <c r="L1346" s="78"/>
    </row>
    <row r="1347" spans="12:12" ht="15" customHeight="1">
      <c r="L1347" s="78"/>
    </row>
    <row r="1348" spans="12:12" ht="15" customHeight="1">
      <c r="L1348" s="78"/>
    </row>
    <row r="1349" spans="12:12" ht="15" customHeight="1">
      <c r="L1349" s="78"/>
    </row>
    <row r="1350" spans="12:12" ht="15" customHeight="1">
      <c r="L1350" s="78"/>
    </row>
    <row r="1351" spans="12:12" ht="15" customHeight="1">
      <c r="L1351" s="78"/>
    </row>
    <row r="1352" spans="12:12" ht="15" customHeight="1">
      <c r="L1352" s="78"/>
    </row>
    <row r="1353" spans="12:12" ht="15" customHeight="1">
      <c r="L1353" s="78"/>
    </row>
    <row r="1354" spans="12:12" ht="15" customHeight="1">
      <c r="L1354" s="78"/>
    </row>
    <row r="1355" spans="12:12" ht="15" customHeight="1">
      <c r="L1355" s="78"/>
    </row>
    <row r="1356" spans="12:12" ht="15" customHeight="1">
      <c r="L1356" s="78"/>
    </row>
    <row r="1357" spans="12:12" ht="15" customHeight="1">
      <c r="L1357" s="78"/>
    </row>
    <row r="1358" spans="12:12" ht="15" customHeight="1">
      <c r="L1358" s="78"/>
    </row>
    <row r="1359" spans="12:12" ht="15" customHeight="1">
      <c r="L1359" s="78"/>
    </row>
    <row r="1360" spans="12:12" ht="15" customHeight="1">
      <c r="L1360" s="78"/>
    </row>
    <row r="1361" spans="12:12" ht="15" customHeight="1">
      <c r="L1361" s="78"/>
    </row>
    <row r="1362" spans="12:12" ht="15" customHeight="1">
      <c r="L1362" s="78"/>
    </row>
    <row r="1363" spans="12:12" ht="15" customHeight="1">
      <c r="L1363" s="78"/>
    </row>
    <row r="1364" spans="12:12" ht="15" customHeight="1">
      <c r="L1364" s="78"/>
    </row>
    <row r="1365" spans="12:12" ht="15" customHeight="1">
      <c r="L1365" s="78"/>
    </row>
    <row r="1366" spans="12:12" ht="15" customHeight="1">
      <c r="L1366" s="78"/>
    </row>
    <row r="1367" spans="12:12" ht="15" customHeight="1">
      <c r="L1367" s="78"/>
    </row>
    <row r="1368" spans="12:12" ht="15" customHeight="1">
      <c r="L1368" s="78"/>
    </row>
    <row r="1369" spans="12:12" ht="15" customHeight="1">
      <c r="L1369" s="78"/>
    </row>
    <row r="1370" spans="12:12" ht="15" customHeight="1">
      <c r="L1370" s="78"/>
    </row>
    <row r="1371" spans="12:12" ht="15" customHeight="1">
      <c r="L1371" s="78"/>
    </row>
    <row r="1372" spans="12:12" ht="15" customHeight="1">
      <c r="L1372" s="78"/>
    </row>
    <row r="1373" spans="12:12" ht="15" customHeight="1">
      <c r="L1373" s="78"/>
    </row>
    <row r="1374" spans="12:12" ht="15" customHeight="1">
      <c r="L1374" s="78"/>
    </row>
    <row r="1375" spans="12:12" ht="15" customHeight="1">
      <c r="L1375" s="78"/>
    </row>
    <row r="1376" spans="12:12" ht="15" customHeight="1">
      <c r="L1376" s="78"/>
    </row>
    <row r="1377" spans="12:12" ht="15" customHeight="1">
      <c r="L1377" s="78"/>
    </row>
    <row r="1378" spans="12:12" ht="15" customHeight="1">
      <c r="L1378" s="78"/>
    </row>
    <row r="1379" spans="12:12" ht="15" customHeight="1">
      <c r="L1379" s="78"/>
    </row>
    <row r="1380" spans="12:12" ht="15" customHeight="1">
      <c r="L1380" s="78"/>
    </row>
    <row r="1381" spans="12:12" ht="15" customHeight="1">
      <c r="L1381" s="78"/>
    </row>
    <row r="1382" spans="12:12" ht="15" customHeight="1">
      <c r="L1382" s="78"/>
    </row>
    <row r="1383" spans="12:12" ht="15" customHeight="1">
      <c r="L1383" s="78"/>
    </row>
    <row r="1384" spans="12:12" ht="15" customHeight="1">
      <c r="L1384" s="78"/>
    </row>
    <row r="1385" spans="12:12" ht="15" customHeight="1">
      <c r="L1385" s="78"/>
    </row>
    <row r="1386" spans="12:12" ht="15" customHeight="1">
      <c r="L1386" s="78"/>
    </row>
    <row r="1387" spans="12:12" ht="15" customHeight="1">
      <c r="L1387" s="78"/>
    </row>
    <row r="1388" spans="12:12" ht="15" customHeight="1">
      <c r="L1388" s="78"/>
    </row>
    <row r="1389" spans="12:12" ht="15" customHeight="1">
      <c r="L1389" s="78"/>
    </row>
    <row r="1390" spans="12:12" ht="15" customHeight="1">
      <c r="L1390" s="78"/>
    </row>
    <row r="1391" spans="12:12" ht="15" customHeight="1">
      <c r="L1391" s="78"/>
    </row>
    <row r="1392" spans="12:12" ht="15" customHeight="1">
      <c r="L1392" s="78"/>
    </row>
    <row r="1393" spans="12:12" ht="15" customHeight="1">
      <c r="L1393" s="78"/>
    </row>
    <row r="1394" spans="12:12" ht="15" customHeight="1">
      <c r="L1394" s="78"/>
    </row>
    <row r="1395" spans="12:12" ht="15" customHeight="1">
      <c r="L1395" s="78"/>
    </row>
    <row r="1396" spans="12:12" ht="15" customHeight="1">
      <c r="L1396" s="78"/>
    </row>
    <row r="1397" spans="12:12" ht="15" customHeight="1">
      <c r="L1397" s="78"/>
    </row>
    <row r="1398" spans="12:12" ht="15" customHeight="1">
      <c r="L1398" s="78"/>
    </row>
    <row r="1399" spans="12:12" ht="15" customHeight="1">
      <c r="L1399" s="78"/>
    </row>
    <row r="1400" spans="12:12" ht="15" customHeight="1">
      <c r="L1400" s="78"/>
    </row>
    <row r="1401" spans="12:12" ht="15" customHeight="1">
      <c r="L1401" s="78"/>
    </row>
    <row r="1402" spans="12:12" ht="15" customHeight="1">
      <c r="L1402" s="78"/>
    </row>
    <row r="1403" spans="12:12" ht="15" customHeight="1">
      <c r="L1403" s="78"/>
    </row>
    <row r="1404" spans="12:12" ht="15" customHeight="1">
      <c r="L1404" s="78"/>
    </row>
    <row r="1405" spans="12:12" ht="15" customHeight="1">
      <c r="L1405" s="78"/>
    </row>
    <row r="1406" spans="12:12" ht="15" customHeight="1">
      <c r="L1406" s="78"/>
    </row>
    <row r="1407" spans="12:12" ht="15" customHeight="1">
      <c r="L1407" s="78"/>
    </row>
    <row r="1408" spans="12:12" ht="15" customHeight="1">
      <c r="L1408" s="78"/>
    </row>
    <row r="1409" spans="12:12" ht="15" customHeight="1">
      <c r="L1409" s="78"/>
    </row>
    <row r="1410" spans="12:12" ht="15" customHeight="1">
      <c r="L1410" s="78"/>
    </row>
    <row r="1411" spans="12:12" ht="15" customHeight="1">
      <c r="L1411" s="78"/>
    </row>
    <row r="1412" spans="12:12" ht="15" customHeight="1">
      <c r="L1412" s="78"/>
    </row>
    <row r="1413" spans="12:12" ht="15" customHeight="1">
      <c r="L1413" s="78"/>
    </row>
    <row r="1414" spans="12:12" ht="15" customHeight="1">
      <c r="L1414" s="78"/>
    </row>
    <row r="1415" spans="12:12" ht="15" customHeight="1">
      <c r="L1415" s="78"/>
    </row>
    <row r="1416" spans="12:12" ht="15" customHeight="1">
      <c r="L1416" s="78"/>
    </row>
    <row r="1417" spans="12:12" ht="15" customHeight="1">
      <c r="L1417" s="78"/>
    </row>
    <row r="1418" spans="12:12" ht="15" customHeight="1">
      <c r="L1418" s="78"/>
    </row>
    <row r="1419" spans="12:12" ht="15" customHeight="1">
      <c r="L1419" s="78"/>
    </row>
    <row r="1420" spans="12:12" ht="15" customHeight="1">
      <c r="L1420" s="78"/>
    </row>
    <row r="1421" spans="12:12" ht="15" customHeight="1">
      <c r="L1421" s="78"/>
    </row>
    <row r="1422" spans="12:12" ht="15" customHeight="1">
      <c r="L1422" s="78"/>
    </row>
    <row r="1423" spans="12:12" ht="15" customHeight="1">
      <c r="L1423" s="78"/>
    </row>
    <row r="1424" spans="12:12" ht="15" customHeight="1">
      <c r="L1424" s="78"/>
    </row>
    <row r="1425" spans="12:12" ht="15" customHeight="1">
      <c r="L1425" s="78"/>
    </row>
    <row r="1426" spans="12:12" ht="15" customHeight="1">
      <c r="L1426" s="78"/>
    </row>
    <row r="1427" spans="12:12" ht="15" customHeight="1">
      <c r="L1427" s="78"/>
    </row>
    <row r="1428" spans="12:12" ht="15" customHeight="1">
      <c r="L1428" s="78"/>
    </row>
    <row r="1429" spans="12:12" ht="15" customHeight="1">
      <c r="L1429" s="78"/>
    </row>
    <row r="1430" spans="12:12" ht="15" customHeight="1">
      <c r="L1430" s="78"/>
    </row>
    <row r="1431" spans="12:12" ht="15" customHeight="1">
      <c r="L1431" s="78"/>
    </row>
    <row r="1432" spans="12:12" ht="15" customHeight="1">
      <c r="L1432" s="78"/>
    </row>
    <row r="1433" spans="12:12" ht="15" customHeight="1">
      <c r="L1433" s="78"/>
    </row>
    <row r="1434" spans="12:12" ht="15" customHeight="1">
      <c r="L1434" s="78"/>
    </row>
    <row r="1435" spans="12:12" ht="15" customHeight="1">
      <c r="L1435" s="78"/>
    </row>
    <row r="1436" spans="12:12" ht="15" customHeight="1">
      <c r="L1436" s="78"/>
    </row>
    <row r="1437" spans="12:12" ht="15" customHeight="1">
      <c r="L1437" s="78"/>
    </row>
    <row r="1438" spans="12:12" ht="15" customHeight="1">
      <c r="L1438" s="78"/>
    </row>
    <row r="1439" spans="12:12" ht="15" customHeight="1">
      <c r="L1439" s="78"/>
    </row>
    <row r="1440" spans="12:12" ht="15" customHeight="1">
      <c r="L1440" s="78"/>
    </row>
    <row r="1441" spans="12:12" ht="15" customHeight="1">
      <c r="L1441" s="78"/>
    </row>
    <row r="1442" spans="12:12" ht="15" customHeight="1">
      <c r="L1442" s="78"/>
    </row>
    <row r="1443" spans="12:12" ht="15" customHeight="1">
      <c r="L1443" s="78"/>
    </row>
    <row r="1444" spans="12:12" ht="15" customHeight="1">
      <c r="L1444" s="78"/>
    </row>
    <row r="1445" spans="12:12" ht="15" customHeight="1">
      <c r="L1445" s="78"/>
    </row>
    <row r="1446" spans="12:12" ht="15" customHeight="1">
      <c r="L1446" s="78"/>
    </row>
    <row r="1447" spans="12:12" ht="15" customHeight="1">
      <c r="L1447" s="78"/>
    </row>
    <row r="1448" spans="12:12" ht="15" customHeight="1">
      <c r="L1448" s="78"/>
    </row>
    <row r="1449" spans="12:12" ht="15" customHeight="1">
      <c r="L1449" s="78"/>
    </row>
    <row r="1450" spans="12:12" ht="15" customHeight="1">
      <c r="L1450" s="78"/>
    </row>
  </sheetData>
  <phoneticPr fontId="30" type="noConversion"/>
  <conditionalFormatting sqref="B28:M28">
    <cfRule type="cellIs" dxfId="1" priority="3" operator="lessThan">
      <formula>0</formula>
    </cfRule>
  </conditionalFormatting>
  <conditionalFormatting sqref="I30:I37 I40:I42 I44">
    <cfRule type="notContainsBlanks" dxfId="0" priority="5">
      <formula>LEN(TRIM(I30))&gt;0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2026-02-26T13:29:01Z</dcterms:created>
  <dcterms:modified xsi:type="dcterms:W3CDTF">2026-03-01T12:28:27Z</dcterms:modified>
</cp:coreProperties>
</file>